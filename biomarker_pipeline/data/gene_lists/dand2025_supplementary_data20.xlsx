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https://emckclac-my.sharepoint.com/personal/k1191584_kcl_ac_uk/Documents/Writing/Psoriasis_meta_2021/revision2_natcomm/"/>
    </mc:Choice>
  </mc:AlternateContent>
  <xr:revisionPtr revIDLastSave="227" documentId="13_ncr:1_{274D67BA-2CEA-2F4A-8DDF-B1FC9D85DE79}" xr6:coauthVersionLast="47" xr6:coauthVersionMax="47" xr10:uidLastSave="{DB39B8B9-1756-3D41-B226-59E4B450C201}"/>
  <bookViews>
    <workbookView xWindow="0" yWindow="500" windowWidth="38400" windowHeight="21100" xr2:uid="{9A598306-D994-B748-8BE4-E59CBDB56193}"/>
  </bookViews>
  <sheets>
    <sheet name="Contents" sheetId="2" r:id="rId1"/>
    <sheet name="Supplementary Data 1" sheetId="47" r:id="rId2"/>
    <sheet name="Supplementary Data 2" sheetId="14" r:id="rId3"/>
    <sheet name="Supplementary Data 3" sheetId="28" r:id="rId4"/>
    <sheet name="Supplementary Data 4" sheetId="46" r:id="rId5"/>
    <sheet name="Supplementary Data 5" sheetId="16" r:id="rId6"/>
    <sheet name="Supplementary Data 6" sheetId="4" r:id="rId7"/>
    <sheet name="Supplementary Data 7" sheetId="5" r:id="rId8"/>
    <sheet name="Supplementary Data 8" sheetId="13" r:id="rId9"/>
    <sheet name="Supplementary Data 9" sheetId="21" r:id="rId10"/>
    <sheet name="Supplementary Data 10" sheetId="22" r:id="rId11"/>
    <sheet name="Supplementary Data 11" sheetId="38" r:id="rId12"/>
    <sheet name="Supplementary Data 12" sheetId="36" r:id="rId13"/>
    <sheet name="Supplementary Data 13" sheetId="33" r:id="rId14"/>
    <sheet name="Supplementary Data 14" sheetId="11" r:id="rId15"/>
    <sheet name="Supplementary Data 15" sheetId="41" r:id="rId16"/>
    <sheet name="Supplementary Data 16" sheetId="23" r:id="rId17"/>
    <sheet name="Supplementary Data 17" sheetId="12" r:id="rId18"/>
    <sheet name="Supplementary Data 18" sheetId="20" r:id="rId19"/>
    <sheet name="Supplementary Data 19" sheetId="37" r:id="rId20"/>
    <sheet name="Supplementary Data 20" sheetId="43" r:id="rId21"/>
    <sheet name="Supplementary Data 21" sheetId="44" r:id="rId22"/>
    <sheet name="Supplementary Data 22" sheetId="3" r:id="rId23"/>
    <sheet name="Supplementary Data 23" sheetId="45" r:id="rId24"/>
  </sheets>
  <definedNames>
    <definedName name="_xlnm._FilterDatabase" localSheetId="1" hidden="1">'Supplementary Data 1'!$B$11:$AK$161</definedName>
    <definedName name="_xlnm._FilterDatabase" localSheetId="17" hidden="1">'Supplementary Data 17'!#REF!</definedName>
    <definedName name="_xlnm._FilterDatabase" localSheetId="18" hidden="1">'Supplementary Data 18'!$B$10:$K$117</definedName>
    <definedName name="_xlnm._FilterDatabase" localSheetId="3" hidden="1">'Supplementary Data 3'!$B$8:$K$59</definedName>
    <definedName name="_xlnm._FilterDatabase" localSheetId="8" hidden="1">'Supplementary Data 8'!$B$6:$L$53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15" i="43" l="1"/>
  <c r="E114" i="43"/>
  <c r="E113" i="43"/>
  <c r="E112" i="43"/>
  <c r="E111" i="43"/>
  <c r="E110" i="43"/>
  <c r="E109" i="43"/>
  <c r="E108" i="43"/>
  <c r="E107" i="43"/>
  <c r="E106" i="43"/>
  <c r="E105" i="43"/>
  <c r="E104" i="43"/>
  <c r="E103" i="43"/>
  <c r="E102" i="43"/>
  <c r="E101" i="43"/>
  <c r="E100" i="43"/>
  <c r="E99" i="43"/>
  <c r="E98" i="43"/>
  <c r="E97" i="43"/>
  <c r="E96" i="43"/>
  <c r="E95" i="43"/>
  <c r="E94" i="43"/>
  <c r="E93" i="43"/>
  <c r="E92" i="43"/>
  <c r="E91" i="43"/>
  <c r="E90" i="43"/>
  <c r="E89" i="43"/>
  <c r="E88" i="43"/>
  <c r="E87" i="43"/>
  <c r="E86" i="43"/>
  <c r="E85" i="43"/>
  <c r="E84" i="43"/>
  <c r="E83" i="43"/>
  <c r="E82" i="43"/>
  <c r="E81" i="43"/>
  <c r="E80" i="43"/>
  <c r="E79" i="43"/>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E19" i="43"/>
  <c r="E18" i="43"/>
  <c r="E17" i="43"/>
  <c r="E16" i="43"/>
  <c r="E15" i="43"/>
  <c r="E14" i="43"/>
  <c r="E13" i="43"/>
  <c r="E12" i="43"/>
  <c r="E11" i="43"/>
  <c r="E10" i="43"/>
  <c r="E9" i="43"/>
  <c r="E8" i="43"/>
  <c r="E7" i="43"/>
  <c r="Q83" i="5" l="1"/>
  <c r="Q81" i="5"/>
  <c r="Q79" i="5"/>
  <c r="M77" i="5"/>
  <c r="G77" i="5"/>
  <c r="O83" i="5"/>
  <c r="O81" i="5"/>
  <c r="O79" i="5"/>
  <c r="I75" i="5"/>
  <c r="I73" i="5"/>
  <c r="C75" i="5"/>
  <c r="C73" i="5"/>
</calcChain>
</file>

<file path=xl/sharedStrings.xml><?xml version="1.0" encoding="utf-8"?>
<sst xmlns="http://schemas.openxmlformats.org/spreadsheetml/2006/main" count="10448" uniqueCount="2936">
  <si>
    <t>Region #</t>
  </si>
  <si>
    <t>Chr</t>
  </si>
  <si>
    <t>LD block</t>
  </si>
  <si>
    <t>Variant in LD block with lowest meta-analysis p-value</t>
  </si>
  <si>
    <r>
      <t>Variant in LD block having N</t>
    </r>
    <r>
      <rPr>
        <b/>
        <sz val="10"/>
        <color theme="1"/>
        <rFont val="Calibri (Body)"/>
      </rPr>
      <t>eff</t>
    </r>
    <r>
      <rPr>
        <b/>
        <sz val="12"/>
        <color theme="1"/>
        <rFont val="Calibri"/>
        <family val="2"/>
        <scheme val="minor"/>
      </rPr>
      <t xml:space="preserve"> &gt; 90% of maximum with lowest meta-analysis p-value</t>
    </r>
  </si>
  <si>
    <t>Number of independent signals</t>
  </si>
  <si>
    <t>Joint model results for independent signals</t>
  </si>
  <si>
    <t>95% Bayesian credible set</t>
  </si>
  <si>
    <t>rsID</t>
  </si>
  <si>
    <t>Position (hg19)</t>
  </si>
  <si>
    <t>EA</t>
  </si>
  <si>
    <t>NEA</t>
  </si>
  <si>
    <t>Direction</t>
  </si>
  <si>
    <t>Odds ratio</t>
  </si>
  <si>
    <t>Std Err log(OR)</t>
  </si>
  <si>
    <t>Size</t>
  </si>
  <si>
    <t>Lead variant</t>
  </si>
  <si>
    <t>Lead variant PP</t>
  </si>
  <si>
    <t>rs55724405</t>
  </si>
  <si>
    <t>T</t>
  </si>
  <si>
    <t>C</t>
  </si>
  <si>
    <t>-------+----------</t>
  </si>
  <si>
    <t>Self</t>
  </si>
  <si>
    <t>-</t>
  </si>
  <si>
    <t>rs12138839</t>
  </si>
  <si>
    <t>G</t>
  </si>
  <si>
    <t>1:8268913_C/T</t>
  </si>
  <si>
    <t>Chr1:8286009</t>
  </si>
  <si>
    <t>.</t>
  </si>
  <si>
    <t>rs112147823</t>
  </si>
  <si>
    <t>1:8206827_T/C</t>
  </si>
  <si>
    <t>rs78088488</t>
  </si>
  <si>
    <t>CA</t>
  </si>
  <si>
    <t>-------------+---?</t>
  </si>
  <si>
    <t>rs149099488</t>
  </si>
  <si>
    <t>GTC</t>
  </si>
  <si>
    <t>-------------+---+</t>
  </si>
  <si>
    <t>1:12047196_G/GTC</t>
  </si>
  <si>
    <t>None</t>
  </si>
  <si>
    <t>rs4481843</t>
  </si>
  <si>
    <t>A</t>
  </si>
  <si>
    <t>---------+---+---?</t>
  </si>
  <si>
    <t>rs6674071</t>
  </si>
  <si>
    <t>------+-----+-----</t>
  </si>
  <si>
    <t>rs10794648</t>
  </si>
  <si>
    <t>----------+---+---</t>
  </si>
  <si>
    <t>1:24518206_T/C</t>
  </si>
  <si>
    <t>Chr1:24518206</t>
  </si>
  <si>
    <t>rs12751091</t>
  </si>
  <si>
    <t>1:24507213_C/T</t>
  </si>
  <si>
    <t>rs7523328</t>
  </si>
  <si>
    <t>++++++++++++++++++</t>
  </si>
  <si>
    <t>1:25294195_G/A</t>
  </si>
  <si>
    <t>Chr1:25291010</t>
  </si>
  <si>
    <t>rs34190690</t>
  </si>
  <si>
    <t>++++++++++-+++-++?</t>
  </si>
  <si>
    <t>rs56308731</t>
  </si>
  <si>
    <t>++++++++++-+++-+++</t>
  </si>
  <si>
    <t>rs6701313</t>
  </si>
  <si>
    <t>------------------</t>
  </si>
  <si>
    <t>1:67712157_C/T</t>
  </si>
  <si>
    <t>Chr1:67713346; Chr1:69788482</t>
  </si>
  <si>
    <t>rs11465754</t>
  </si>
  <si>
    <t>1:67631431_A/G</t>
  </si>
  <si>
    <t>rs12033764</t>
  </si>
  <si>
    <t>1:67734482_C/T</t>
  </si>
  <si>
    <t>rs34517439</t>
  </si>
  <si>
    <t>+++-++-++++-++-++-</t>
  </si>
  <si>
    <t>1:78450517_C/A</t>
  </si>
  <si>
    <t>Chr1:78450517</t>
  </si>
  <si>
    <t>rs6701307</t>
  </si>
  <si>
    <t>1:152590444_G/A</t>
  </si>
  <si>
    <t>Chr1:152591953</t>
  </si>
  <si>
    <t>rs61815119</t>
  </si>
  <si>
    <t>1:151794100_A/G</t>
  </si>
  <si>
    <t>rs10737548</t>
  </si>
  <si>
    <t>1:161493545_T/C</t>
  </si>
  <si>
    <t>rs12046909</t>
  </si>
  <si>
    <t>--+---+---+---+---</t>
  </si>
  <si>
    <t>1:168507463_C/T</t>
  </si>
  <si>
    <t>rs78037977</t>
  </si>
  <si>
    <t>---+----------+---</t>
  </si>
  <si>
    <t>1:172715702_A/G</t>
  </si>
  <si>
    <t>Chr1:172675097</t>
  </si>
  <si>
    <t>rs17641524</t>
  </si>
  <si>
    <t>++++++-++--++--+++</t>
  </si>
  <si>
    <t>1:197704717_C/T</t>
  </si>
  <si>
    <t>Chr1:197757846</t>
  </si>
  <si>
    <t>rs2297545</t>
  </si>
  <si>
    <t>+++-++++++-+++-+++</t>
  </si>
  <si>
    <t>1:206651107_G/A</t>
  </si>
  <si>
    <t>Chr1:206655331</t>
  </si>
  <si>
    <t>rs3024493</t>
  </si>
  <si>
    <t>1:206943968_C/A</t>
  </si>
  <si>
    <t>rs56007024</t>
  </si>
  <si>
    <t>------+-------++--</t>
  </si>
  <si>
    <t>rs13432743</t>
  </si>
  <si>
    <t>2:25069392_A/G</t>
  </si>
  <si>
    <t>rs35741374</t>
  </si>
  <si>
    <t>rs1177202</t>
  </si>
  <si>
    <t>2:61074576_C/G</t>
  </si>
  <si>
    <t>Chr2:61072183; Chr2:62560332</t>
  </si>
  <si>
    <t>rs4672505</t>
  </si>
  <si>
    <t>2:62560332_A/G</t>
  </si>
  <si>
    <t>rs740271</t>
  </si>
  <si>
    <t>------+----+--+---</t>
  </si>
  <si>
    <t>2:102600083_C/T</t>
  </si>
  <si>
    <t>rs13029175</t>
  </si>
  <si>
    <t>--+------++-------</t>
  </si>
  <si>
    <t>2:111629125_G/T</t>
  </si>
  <si>
    <t>rs2111485</t>
  </si>
  <si>
    <t>------+-----------</t>
  </si>
  <si>
    <t>2:163110536_A/G</t>
  </si>
  <si>
    <t>Chr2:163167746</t>
  </si>
  <si>
    <t>rs17715343</t>
  </si>
  <si>
    <t>2:163167746_C/G</t>
  </si>
  <si>
    <t>rs535047131</t>
  </si>
  <si>
    <t>CT</t>
  </si>
  <si>
    <t>---------+---++--?</t>
  </si>
  <si>
    <t>rs75415672</t>
  </si>
  <si>
    <t>---------+---++---</t>
  </si>
  <si>
    <t>rs35008063</t>
  </si>
  <si>
    <t>+++++++++++++-++++</t>
  </si>
  <si>
    <t>2:231156484_G/T</t>
  </si>
  <si>
    <t>rs6760912</t>
  </si>
  <si>
    <t>+++++++++++-++++++</t>
  </si>
  <si>
    <t>2:234110944_A/G</t>
  </si>
  <si>
    <t>rs62196011</t>
  </si>
  <si>
    <t>+++++-++++++++++++</t>
  </si>
  <si>
    <t>2:239007563_C/T</t>
  </si>
  <si>
    <t>rs7611127</t>
  </si>
  <si>
    <t>-----------+------</t>
  </si>
  <si>
    <t>3:17056031_G/A</t>
  </si>
  <si>
    <t>Chr3:16996623</t>
  </si>
  <si>
    <t>rs10936821</t>
  </si>
  <si>
    <t>----?------+------</t>
  </si>
  <si>
    <t>3:101628519_T/G</t>
  </si>
  <si>
    <t>Chr3:101647309</t>
  </si>
  <si>
    <t>rs9858861</t>
  </si>
  <si>
    <t>3:156542637_G/C</t>
  </si>
  <si>
    <t>rs12634152</t>
  </si>
  <si>
    <t>+--+--------------</t>
  </si>
  <si>
    <t>3:188121019_C/T</t>
  </si>
  <si>
    <t>rs16864449</t>
  </si>
  <si>
    <t>++++++++++?+++-+++</t>
  </si>
  <si>
    <t>3:189220585_A/G</t>
  </si>
  <si>
    <t>rs5855282</t>
  </si>
  <si>
    <t>GT</t>
  </si>
  <si>
    <t>3:189662658_GT/G</t>
  </si>
  <si>
    <t>Chr3:189662658</t>
  </si>
  <si>
    <t>rs34515026</t>
  </si>
  <si>
    <t>++++++-+++-+++++++</t>
  </si>
  <si>
    <t>3:196349234_T/C</t>
  </si>
  <si>
    <t>rs13137072</t>
  </si>
  <si>
    <t>-------+-++--++---</t>
  </si>
  <si>
    <t>rs6822844</t>
  </si>
  <si>
    <t>4:123509421_G/T</t>
  </si>
  <si>
    <t>rs6835638</t>
  </si>
  <si>
    <t>4:123601412_C/T</t>
  </si>
  <si>
    <t>rs4594881</t>
  </si>
  <si>
    <t>-------+---+------</t>
  </si>
  <si>
    <t>5:35846815_G/T</t>
  </si>
  <si>
    <t>rs1992660</t>
  </si>
  <si>
    <t>+++++++++-+-++-+++</t>
  </si>
  <si>
    <t>rs10473187</t>
  </si>
  <si>
    <t>5:40385134_C/T</t>
  </si>
  <si>
    <t>Chr5:40370724</t>
  </si>
  <si>
    <t>rs12654176</t>
  </si>
  <si>
    <t>----?-+-----------</t>
  </si>
  <si>
    <t>5:56058487_A/G</t>
  </si>
  <si>
    <t>rs200528525</t>
  </si>
  <si>
    <t>AACAT</t>
  </si>
  <si>
    <t>++++++++++--+-+++?</t>
  </si>
  <si>
    <t>rs30376</t>
  </si>
  <si>
    <t>----------++-+----</t>
  </si>
  <si>
    <t>5:96120259_C/T</t>
  </si>
  <si>
    <t>Chr5:96118852</t>
  </si>
  <si>
    <t>rs2247650</t>
  </si>
  <si>
    <t>5:96229750_G/T</t>
  </si>
  <si>
    <t>rs848</t>
  </si>
  <si>
    <t>5:131996445_A/G</t>
  </si>
  <si>
    <t>Chr5:131996445</t>
  </si>
  <si>
    <t>rs6867080</t>
  </si>
  <si>
    <t>5:130164018_T/C</t>
  </si>
  <si>
    <t>rs8177833</t>
  </si>
  <si>
    <t>GC</t>
  </si>
  <si>
    <t>5:150466690_GC/G</t>
  </si>
  <si>
    <t>Chr5:150469973</t>
  </si>
  <si>
    <t>rs918518</t>
  </si>
  <si>
    <t>++++++++++++++-+++</t>
  </si>
  <si>
    <t>5:158826493_A/G</t>
  </si>
  <si>
    <t>Chr5:158829527</t>
  </si>
  <si>
    <t>rs62377586</t>
  </si>
  <si>
    <t>5:158766022_G/A</t>
  </si>
  <si>
    <t>rs10077858</t>
  </si>
  <si>
    <t>5:158614087_A/C</t>
  </si>
  <si>
    <t>5_158857873_C_A</t>
  </si>
  <si>
    <t>5:158857873_C/A</t>
  </si>
  <si>
    <t>rs113630578</t>
  </si>
  <si>
    <t>5:158823994_A/G</t>
  </si>
  <si>
    <t>rs6894840</t>
  </si>
  <si>
    <t>5:158625788_T/G</t>
  </si>
  <si>
    <t>rs147305561</t>
  </si>
  <si>
    <t>5:158835261_GTTCT/G</t>
  </si>
  <si>
    <t>rs9504361</t>
  </si>
  <si>
    <t>+++++++-+++++-++++</t>
  </si>
  <si>
    <t>6:577820_A/G</t>
  </si>
  <si>
    <t>Chr6:577820</t>
  </si>
  <si>
    <t>rs114122513</t>
  </si>
  <si>
    <t>6:491377_T/C</t>
  </si>
  <si>
    <t>rs7748720</t>
  </si>
  <si>
    <t>+++-++-+++-++--+++</t>
  </si>
  <si>
    <t>6:20689945_G/A</t>
  </si>
  <si>
    <t>Chr6:20689945</t>
  </si>
  <si>
    <t>rs12189871</t>
  </si>
  <si>
    <t>+++++++++++++++?++</t>
  </si>
  <si>
    <t>rs58102217</t>
  </si>
  <si>
    <t>6:31346655_G/A</t>
  </si>
  <si>
    <t>Chr6:30916259</t>
  </si>
  <si>
    <t>rs33980500</t>
  </si>
  <si>
    <t>6:111913262_C/T</t>
  </si>
  <si>
    <t>Chr6:111929862</t>
  </si>
  <si>
    <t>rs13199291</t>
  </si>
  <si>
    <t>6:111615473_C/T</t>
  </si>
  <si>
    <t>rs6908585</t>
  </si>
  <si>
    <t>6:111932873_C/T</t>
  </si>
  <si>
    <t>rs582757</t>
  </si>
  <si>
    <t>-------------+----</t>
  </si>
  <si>
    <t>6:138197824_C/T</t>
  </si>
  <si>
    <t>Chr6:138197824</t>
  </si>
  <si>
    <t>rs9321623</t>
  </si>
  <si>
    <t>6:137958265_C/T</t>
  </si>
  <si>
    <t>rs2451258</t>
  </si>
  <si>
    <t>------+--+----+---</t>
  </si>
  <si>
    <t>6:159506600_C/T</t>
  </si>
  <si>
    <t>Chr6:159506600</t>
  </si>
  <si>
    <t>rs78233367</t>
  </si>
  <si>
    <t>+++-+++++++-+-++++</t>
  </si>
  <si>
    <t>7:17165436_T/C</t>
  </si>
  <si>
    <t>rs117744081</t>
  </si>
  <si>
    <t>----------+-----+-</t>
  </si>
  <si>
    <t>7:29132279_A/G</t>
  </si>
  <si>
    <t>rs75993298</t>
  </si>
  <si>
    <t>rs60600003</t>
  </si>
  <si>
    <t>7:37382465_T/G</t>
  </si>
  <si>
    <t>Chr7:37385365</t>
  </si>
  <si>
    <t>rs4728141</t>
  </si>
  <si>
    <t>-----------+-+----</t>
  </si>
  <si>
    <t>7:128567032_T/C</t>
  </si>
  <si>
    <t>rs79376089</t>
  </si>
  <si>
    <t>8:61841979_G/A</t>
  </si>
  <si>
    <t>rs71245537</t>
  </si>
  <si>
    <t>8:61851852_C/CT</t>
  </si>
  <si>
    <t>rs7828306</t>
  </si>
  <si>
    <t>---------+--+-+---</t>
  </si>
  <si>
    <t>8:81298643_G/T</t>
  </si>
  <si>
    <t>rs4242369</t>
  </si>
  <si>
    <t>----------+------+</t>
  </si>
  <si>
    <t>8:126439406_T/C</t>
  </si>
  <si>
    <t>rs77247401</t>
  </si>
  <si>
    <t>CTG</t>
  </si>
  <si>
    <t>----?-+--+---+----</t>
  </si>
  <si>
    <t>8:129561216_C/CTG</t>
  </si>
  <si>
    <t>rs11795343</t>
  </si>
  <si>
    <t>9:32523737_T/C</t>
  </si>
  <si>
    <t>Chr9:32523737</t>
  </si>
  <si>
    <t>rs7042042</t>
  </si>
  <si>
    <t>9:32451144_A/G</t>
  </si>
  <si>
    <t>rs7860780</t>
  </si>
  <si>
    <t>9:110773245_G/A</t>
  </si>
  <si>
    <t>Chr9:110792282</t>
  </si>
  <si>
    <t>rs10979206</t>
  </si>
  <si>
    <t>9:110860513_T/C</t>
  </si>
  <si>
    <t>rs562125</t>
  </si>
  <si>
    <t>9:110735163_A/C</t>
  </si>
  <si>
    <t>rs1407308</t>
  </si>
  <si>
    <t>--------+---++----</t>
  </si>
  <si>
    <t>9:117570223_T/G</t>
  </si>
  <si>
    <t>Chr9:117558703</t>
  </si>
  <si>
    <t>rs61839660</t>
  </si>
  <si>
    <t>+++++++++-+++-++++</t>
  </si>
  <si>
    <t>10:6094697_C/T</t>
  </si>
  <si>
    <t>rs4750517</t>
  </si>
  <si>
    <t>10:6520458_A/G</t>
  </si>
  <si>
    <t>rs2944542</t>
  </si>
  <si>
    <t>+--+---------+----</t>
  </si>
  <si>
    <t>10:64369999_C/G</t>
  </si>
  <si>
    <t>Chr10:64369999</t>
  </si>
  <si>
    <t>rs2664280</t>
  </si>
  <si>
    <t>rs2459446</t>
  </si>
  <si>
    <t>10:75601596_C/T</t>
  </si>
  <si>
    <t>Chr10:75601596</t>
  </si>
  <si>
    <t>rs1250546</t>
  </si>
  <si>
    <t>++++++++++-++-++++</t>
  </si>
  <si>
    <t>10:81032532_A/G</t>
  </si>
  <si>
    <t>Chr10:81043743</t>
  </si>
  <si>
    <t>rs74559740</t>
  </si>
  <si>
    <t>+++-++-++++-++++++</t>
  </si>
  <si>
    <t>10:89637201_T/A</t>
  </si>
  <si>
    <t>Chr10:89824771</t>
  </si>
  <si>
    <t>rs11187128</t>
  </si>
  <si>
    <t>++++++-+++-++++++?</t>
  </si>
  <si>
    <t>rs9420589</t>
  </si>
  <si>
    <t>----------++-----+</t>
  </si>
  <si>
    <t>rs10883448</t>
  </si>
  <si>
    <t>---++-----++------</t>
  </si>
  <si>
    <t>10:101904344_G/A</t>
  </si>
  <si>
    <t>Chr10:102038641</t>
  </si>
  <si>
    <t>rs7108441</t>
  </si>
  <si>
    <t>11:36351781_A/G</t>
  </si>
  <si>
    <t>rs74688172</t>
  </si>
  <si>
    <t>+++++++++-++++-+++</t>
  </si>
  <si>
    <t>11:36430658_G/A</t>
  </si>
  <si>
    <t>rs118086960</t>
  </si>
  <si>
    <t>----------+--+---?</t>
  </si>
  <si>
    <t>rs663743</t>
  </si>
  <si>
    <t>------+----+------</t>
  </si>
  <si>
    <t>11:64107735_G/A</t>
  </si>
  <si>
    <t>Chr11:65593444; Chr11:64053157</t>
  </si>
  <si>
    <t>rs111953392</t>
  </si>
  <si>
    <t>11:65595697_G/A</t>
  </si>
  <si>
    <t>rs2212434</t>
  </si>
  <si>
    <t>++-++++-+-++++++++</t>
  </si>
  <si>
    <t>11:76281593_C/T</t>
  </si>
  <si>
    <t>rs10594885</t>
  </si>
  <si>
    <t>CAT</t>
  </si>
  <si>
    <t>++++++++++--++++++</t>
  </si>
  <si>
    <t>rs4633430</t>
  </si>
  <si>
    <t>11:109974444_A/T</t>
  </si>
  <si>
    <t>Chr11:109962432</t>
  </si>
  <si>
    <t>rs7110845</t>
  </si>
  <si>
    <t>+++++++++-++++++++</t>
  </si>
  <si>
    <t>11:120175749_A/G</t>
  </si>
  <si>
    <t>rs7120822</t>
  </si>
  <si>
    <t>----------++------</t>
  </si>
  <si>
    <t>rs7117118</t>
  </si>
  <si>
    <t>11:128396738_A/G</t>
  </si>
  <si>
    <t>Chr11:128391937</t>
  </si>
  <si>
    <t>rs7933433</t>
  </si>
  <si>
    <t>11:128194450_G/T</t>
  </si>
  <si>
    <t>rs73018928</t>
  </si>
  <si>
    <t>11:128172643_T/A</t>
  </si>
  <si>
    <t>rs10849557</t>
  </si>
  <si>
    <t>++--++++++++++++++</t>
  </si>
  <si>
    <t>rs10774465</t>
  </si>
  <si>
    <t>12:923311_G/A</t>
  </si>
  <si>
    <t>rs6489711</t>
  </si>
  <si>
    <t>++++++-++-++++-+++</t>
  </si>
  <si>
    <t>12:6468303_T/C</t>
  </si>
  <si>
    <t>rs17513937</t>
  </si>
  <si>
    <t>---+---------+---?</t>
  </si>
  <si>
    <t>rs11838084</t>
  </si>
  <si>
    <t>+++-+++++++++-++++</t>
  </si>
  <si>
    <t>12:10580303_T/C</t>
  </si>
  <si>
    <t>Chr12:10597207</t>
  </si>
  <si>
    <t>rs111580405</t>
  </si>
  <si>
    <t>+++++++++++++++++?</t>
  </si>
  <si>
    <t>rs184104056</t>
  </si>
  <si>
    <t>12:56737973_A/G</t>
  </si>
  <si>
    <t>Chr12:56741228</t>
  </si>
  <si>
    <t>rs10876864</t>
  </si>
  <si>
    <t>12:56401085_G/A</t>
  </si>
  <si>
    <t>rs73127340</t>
  </si>
  <si>
    <t>12:56605358_C/T</t>
  </si>
  <si>
    <t>rs79611018</t>
  </si>
  <si>
    <t>-------+---+--+---</t>
  </si>
  <si>
    <t>12:94544520_G/A</t>
  </si>
  <si>
    <t>rs3184504</t>
  </si>
  <si>
    <t>+++-++++++--+-++++</t>
  </si>
  <si>
    <t>12:111884608_T/C</t>
  </si>
  <si>
    <t>Chr12:112059557</t>
  </si>
  <si>
    <t>rs10847516</t>
  </si>
  <si>
    <t>rs7968808</t>
  </si>
  <si>
    <t>12:122661791_C/T</t>
  </si>
  <si>
    <t>Chr12:122668326</t>
  </si>
  <si>
    <t>rs35286429</t>
  </si>
  <si>
    <t>13:45322344_C/CA</t>
  </si>
  <si>
    <t>Chr13:45321731</t>
  </si>
  <si>
    <t>rs9591325</t>
  </si>
  <si>
    <t>+++-++++++-++++-++</t>
  </si>
  <si>
    <t>13:50811220_T/C</t>
  </si>
  <si>
    <t>Chr13:50811220</t>
  </si>
  <si>
    <t>rs9513593</t>
  </si>
  <si>
    <t>---------++--++---</t>
  </si>
  <si>
    <t>13:99950260_G/A</t>
  </si>
  <si>
    <t>Chr13:99950260</t>
  </si>
  <si>
    <t>rs8016947</t>
  </si>
  <si>
    <t>14:35832666_T/G</t>
  </si>
  <si>
    <t>Chr14:35839236</t>
  </si>
  <si>
    <t>rs7148066</t>
  </si>
  <si>
    <t>14:35847810_A/G</t>
  </si>
  <si>
    <t>rs79470265</t>
  </si>
  <si>
    <t>+++++++++++++-+++?</t>
  </si>
  <si>
    <t>rs7144406</t>
  </si>
  <si>
    <t>+++++++++++++-+++-</t>
  </si>
  <si>
    <t>14:98659847_A/G</t>
  </si>
  <si>
    <t>chr14:98668778:D</t>
  </si>
  <si>
    <t>rs3825765</t>
  </si>
  <si>
    <t>+++-++++++++++-+++</t>
  </si>
  <si>
    <t>14:105532812_A/G</t>
  </si>
  <si>
    <t>rs28510484</t>
  </si>
  <si>
    <t>------+----+-++---</t>
  </si>
  <si>
    <t>15:31637569_G/C</t>
  </si>
  <si>
    <t>Chr15:31637666</t>
  </si>
  <si>
    <t>rs12912487</t>
  </si>
  <si>
    <t>---+------+--+----</t>
  </si>
  <si>
    <t>rs36052700</t>
  </si>
  <si>
    <t>15:70033664_C/T</t>
  </si>
  <si>
    <t>rs7171410</t>
  </si>
  <si>
    <t>+++-++++++--++++++</t>
  </si>
  <si>
    <t>15:85673696_A/G</t>
  </si>
  <si>
    <t>rs2021511</t>
  </si>
  <si>
    <t>--------------+---</t>
  </si>
  <si>
    <t>16:11344903_C/T</t>
  </si>
  <si>
    <t>Chr16:11354091</t>
  </si>
  <si>
    <t>rs7403919</t>
  </si>
  <si>
    <t>16:11085968_C/T</t>
  </si>
  <si>
    <t>rs13708</t>
  </si>
  <si>
    <t>rs9938550</t>
  </si>
  <si>
    <t>16:30999142_A/G</t>
  </si>
  <si>
    <t>Chr16:31021078</t>
  </si>
  <si>
    <t>rs8056259</t>
  </si>
  <si>
    <t>16:28272373_C/T</t>
  </si>
  <si>
    <t>rs139021596</t>
  </si>
  <si>
    <t>CACAA</t>
  </si>
  <si>
    <t>--+---------?----?</t>
  </si>
  <si>
    <t>17_4610727_A_AC</t>
  </si>
  <si>
    <t>AC</t>
  </si>
  <si>
    <t>--?---------------</t>
  </si>
  <si>
    <t>17:4610727_A/AC</t>
  </si>
  <si>
    <t>rs28998802</t>
  </si>
  <si>
    <t>17:26124908_G/A</t>
  </si>
  <si>
    <t>Chr17:26124908</t>
  </si>
  <si>
    <t>rs2779248</t>
  </si>
  <si>
    <t>17:26127832_T/C</t>
  </si>
  <si>
    <t>rs9903944</t>
  </si>
  <si>
    <t>17:26180739_A/G</t>
  </si>
  <si>
    <t>rs73986523</t>
  </si>
  <si>
    <t>rs35950888</t>
  </si>
  <si>
    <t>rs17884075</t>
  </si>
  <si>
    <t>17:40541608_AC/A</t>
  </si>
  <si>
    <t>Chr17:40536396</t>
  </si>
  <si>
    <t>rs112098825</t>
  </si>
  <si>
    <t>17:40302271_A/G</t>
  </si>
  <si>
    <t>rs35971701</t>
  </si>
  <si>
    <t>17:43359891_T/C</t>
  </si>
  <si>
    <t>rs544081912</t>
  </si>
  <si>
    <t>GA</t>
  </si>
  <si>
    <t>++++++++++++?-+++?</t>
  </si>
  <si>
    <t>rs4630610</t>
  </si>
  <si>
    <t>++++++++++++-+++++</t>
  </si>
  <si>
    <t>17:73822583_C/A</t>
  </si>
  <si>
    <t>Chr17:73890363</t>
  </si>
  <si>
    <t>rs11653893</t>
  </si>
  <si>
    <t>+++-++-++++++-++++</t>
  </si>
  <si>
    <t>17:78178830_A/G</t>
  </si>
  <si>
    <t>Chr17:78175483</t>
  </si>
  <si>
    <t>rs547226169</t>
  </si>
  <si>
    <t>TA</t>
  </si>
  <si>
    <t>------+----+-++--?</t>
  </si>
  <si>
    <t>rs559406</t>
  </si>
  <si>
    <t>18:12857002_G/T</t>
  </si>
  <si>
    <t>Chr18:12857002</t>
  </si>
  <si>
    <t>rs34689541</t>
  </si>
  <si>
    <t>CAAAG</t>
  </si>
  <si>
    <t>18:51797526_C/CAAAG</t>
  </si>
  <si>
    <t>Chr18:51816394</t>
  </si>
  <si>
    <t>19_936353_C_G</t>
  </si>
  <si>
    <t>----+-------++----</t>
  </si>
  <si>
    <t>rs10404332</t>
  </si>
  <si>
    <t>19:936353_C/G</t>
  </si>
  <si>
    <t>rs79657645</t>
  </si>
  <si>
    <t>---+--?----+?-+---</t>
  </si>
  <si>
    <t>19:4328755_G/C</t>
  </si>
  <si>
    <t>rs34536443</t>
  </si>
  <si>
    <t>------------?-----</t>
  </si>
  <si>
    <t>19:10463118_G/C</t>
  </si>
  <si>
    <t>Chr19:10463118; Chr19:10886206</t>
  </si>
  <si>
    <t>rs12720356</t>
  </si>
  <si>
    <t>19:10469975_A/C</t>
  </si>
  <si>
    <t>rs7343087</t>
  </si>
  <si>
    <t>19:10585233_A/G</t>
  </si>
  <si>
    <t>rs8107351</t>
  </si>
  <si>
    <t>rs1560119</t>
  </si>
  <si>
    <t>19:18573675_A/G</t>
  </si>
  <si>
    <t>rs75826800</t>
  </si>
  <si>
    <t>---+---+--+-------</t>
  </si>
  <si>
    <t>19:33874354_C/T</t>
  </si>
  <si>
    <t>rs516246</t>
  </si>
  <si>
    <t>++-+++++++++++++++</t>
  </si>
  <si>
    <t>19:49206172_C/T</t>
  </si>
  <si>
    <t>Chr19:49206417</t>
  </si>
  <si>
    <t>rs557754609</t>
  </si>
  <si>
    <t>CAA</t>
  </si>
  <si>
    <t>--?---?+?-?+-++?-?</t>
  </si>
  <si>
    <t>rs4809724</t>
  </si>
  <si>
    <t>---+-+----+-+-+---</t>
  </si>
  <si>
    <t>rs57717749</t>
  </si>
  <si>
    <t>------+----------?</t>
  </si>
  <si>
    <t>rs2235616</t>
  </si>
  <si>
    <t>rs6125829</t>
  </si>
  <si>
    <t>20:48574454_G/A</t>
  </si>
  <si>
    <t>Chr20:48574454</t>
  </si>
  <si>
    <t>rs6020200</t>
  </si>
  <si>
    <t>20:48633764_G/A</t>
  </si>
  <si>
    <t>rs6067808</t>
  </si>
  <si>
    <t>-------+-+--------</t>
  </si>
  <si>
    <t>20:50142524_C/G</t>
  </si>
  <si>
    <t>rs2836747</t>
  </si>
  <si>
    <t>21:40282556_A/G</t>
  </si>
  <si>
    <t>rs917864</t>
  </si>
  <si>
    <t>++++??-++++-+--+++</t>
  </si>
  <si>
    <t>22:17565932_T/C</t>
  </si>
  <si>
    <t>rs165687</t>
  </si>
  <si>
    <t>-+++++-++++-+?-+++</t>
  </si>
  <si>
    <t>22:20867265_G/A</t>
  </si>
  <si>
    <t>rs131656</t>
  </si>
  <si>
    <t>+++-++++++++++++++</t>
  </si>
  <si>
    <t>rs7445</t>
  </si>
  <si>
    <t>22:21977047_C/T</t>
  </si>
  <si>
    <t>Chr22:21974703</t>
  </si>
  <si>
    <t>22_37259605_T_C</t>
  </si>
  <si>
    <t>------?+--?---+---</t>
  </si>
  <si>
    <t>rs10622881</t>
  </si>
  <si>
    <t>CTCTT</t>
  </si>
  <si>
    <t>22:37255235_C/CTCTT</t>
  </si>
  <si>
    <t>Summary of meta-analysis association signals</t>
  </si>
  <si>
    <t>Dataset</t>
  </si>
  <si>
    <t>BSTOP</t>
  </si>
  <si>
    <t>D</t>
  </si>
  <si>
    <t>KCL</t>
  </si>
  <si>
    <t>CASP</t>
  </si>
  <si>
    <t>UM</t>
  </si>
  <si>
    <t>Erlangen</t>
  </si>
  <si>
    <t>Universitätsklinikum Erlangen</t>
  </si>
  <si>
    <t>Estonia</t>
  </si>
  <si>
    <t>Estonian Biobank</t>
  </si>
  <si>
    <t>B</t>
  </si>
  <si>
    <t>ExomeChip</t>
  </si>
  <si>
    <t>Genizon</t>
  </si>
  <si>
    <t>HUNT</t>
  </si>
  <si>
    <t>Kiel</t>
  </si>
  <si>
    <t>Christian-Albrecht University of Kiel</t>
  </si>
  <si>
    <t>Manchester</t>
  </si>
  <si>
    <t>University of Manchester</t>
  </si>
  <si>
    <t>Michigan</t>
  </si>
  <si>
    <t>Newfoundland</t>
  </si>
  <si>
    <t>PsA</t>
  </si>
  <si>
    <t>Scotland</t>
  </si>
  <si>
    <t>UCSF</t>
  </si>
  <si>
    <t>Toronto</t>
  </si>
  <si>
    <t>UK Biobank</t>
  </si>
  <si>
    <t>WTCCC2</t>
  </si>
  <si>
    <t>TOTAL</t>
  </si>
  <si>
    <r>
      <rPr>
        <vertAlign val="superscript"/>
        <sz val="12"/>
        <color theme="1"/>
        <rFont val="Calibri (Body)"/>
      </rPr>
      <t>b</t>
    </r>
    <r>
      <rPr>
        <sz val="12"/>
        <color theme="1"/>
        <rFont val="Calibri"/>
        <family val="2"/>
        <scheme val="minor"/>
      </rPr>
      <t xml:space="preserve"> Case and control numbers are those included in the meta-analysis after full QC </t>
    </r>
  </si>
  <si>
    <r>
      <t>N</t>
    </r>
    <r>
      <rPr>
        <vertAlign val="subscript"/>
        <sz val="12"/>
        <color theme="1"/>
        <rFont val="Calibri (Body)"/>
      </rPr>
      <t>eff</t>
    </r>
    <r>
      <rPr>
        <sz val="12"/>
        <color theme="1"/>
        <rFont val="Calibri"/>
        <family val="2"/>
        <scheme val="minor"/>
      </rPr>
      <t>, effective sample size; HUNT, The Trøndelag Health Study; KCL, King’s College London; UCSF, University of California San Francisco; UM, University of Michigan</t>
    </r>
  </si>
  <si>
    <t>Contributing analysis centre</t>
  </si>
  <si>
    <t>Studies included in meta-analysis</t>
  </si>
  <si>
    <r>
      <t>Type</t>
    </r>
    <r>
      <rPr>
        <b/>
        <vertAlign val="superscript"/>
        <sz val="12"/>
        <color theme="1"/>
        <rFont val="Calibri (Body)"/>
      </rPr>
      <t>a</t>
    </r>
  </si>
  <si>
    <r>
      <t>Cases</t>
    </r>
    <r>
      <rPr>
        <b/>
        <vertAlign val="superscript"/>
        <sz val="12"/>
        <color theme="1"/>
        <rFont val="Calibri (Body)"/>
      </rPr>
      <t>b</t>
    </r>
  </si>
  <si>
    <r>
      <t>Controls</t>
    </r>
    <r>
      <rPr>
        <b/>
        <vertAlign val="superscript"/>
        <sz val="12"/>
        <color theme="1"/>
        <rFont val="Calibri (Body)"/>
      </rPr>
      <t>b</t>
    </r>
  </si>
  <si>
    <r>
      <t>N</t>
    </r>
    <r>
      <rPr>
        <b/>
        <vertAlign val="subscript"/>
        <sz val="12"/>
        <color theme="1"/>
        <rFont val="Calibri (Body)"/>
      </rPr>
      <t>eff</t>
    </r>
  </si>
  <si>
    <t>Identified signals</t>
  </si>
  <si>
    <t>Median BCS size</t>
  </si>
  <si>
    <t># BCS including single variant</t>
  </si>
  <si>
    <t># BCS including five variants or fewer</t>
  </si>
  <si>
    <t>Excluding MHC block</t>
  </si>
  <si>
    <t>Including MHC block</t>
  </si>
  <si>
    <t>Primary association signals</t>
  </si>
  <si>
    <t>Secondary association signals</t>
  </si>
  <si>
    <t>All association signals</t>
  </si>
  <si>
    <r>
      <t>BCS, Bayesian 95% credible set; PP</t>
    </r>
    <r>
      <rPr>
        <vertAlign val="subscript"/>
        <sz val="12"/>
        <color theme="1"/>
        <rFont val="Calibri (Body)"/>
      </rPr>
      <t>max</t>
    </r>
    <r>
      <rPr>
        <sz val="12"/>
        <color theme="1"/>
        <rFont val="Calibri"/>
        <family val="2"/>
        <scheme val="minor"/>
      </rPr>
      <t>, maximum posterior probability for causality among variants in BCS.</t>
    </r>
  </si>
  <si>
    <r>
      <t>Identified signals with N</t>
    </r>
    <r>
      <rPr>
        <vertAlign val="subscript"/>
        <sz val="12"/>
        <color theme="1"/>
        <rFont val="Calibri (Body)"/>
      </rPr>
      <t>eff</t>
    </r>
    <r>
      <rPr>
        <sz val="12"/>
        <color theme="1"/>
        <rFont val="Calibri"/>
        <family val="2"/>
        <scheme val="minor"/>
      </rPr>
      <t xml:space="preserve"> &gt; 90% maximum</t>
    </r>
  </si>
  <si>
    <r>
      <t>N</t>
    </r>
    <r>
      <rPr>
        <vertAlign val="subscript"/>
        <sz val="12"/>
        <color theme="1"/>
        <rFont val="Calibri (Body)"/>
      </rPr>
      <t>eff</t>
    </r>
    <r>
      <rPr>
        <sz val="12"/>
        <color theme="1"/>
        <rFont val="Calibri"/>
        <family val="2"/>
        <scheme val="minor"/>
      </rPr>
      <t>, cumulative effective sample size; BCS, Bayesian 95% credible set; PP</t>
    </r>
    <r>
      <rPr>
        <vertAlign val="subscript"/>
        <sz val="12"/>
        <color theme="1"/>
        <rFont val="Calibri (Body)"/>
      </rPr>
      <t>max</t>
    </r>
    <r>
      <rPr>
        <sz val="12"/>
        <color theme="1"/>
        <rFont val="Calibri"/>
        <family val="2"/>
        <scheme val="minor"/>
      </rPr>
      <t>, maximum posterior probability for causality among variants in BCS.</t>
    </r>
  </si>
  <si>
    <r>
      <t>Median BCS PP</t>
    </r>
    <r>
      <rPr>
        <vertAlign val="subscript"/>
        <sz val="12"/>
        <color theme="1"/>
        <rFont val="Calibri (Body)"/>
      </rPr>
      <t>max</t>
    </r>
  </si>
  <si>
    <r>
      <t># BCS including variant with PP</t>
    </r>
    <r>
      <rPr>
        <vertAlign val="subscript"/>
        <sz val="12"/>
        <color theme="1"/>
        <rFont val="Calibri (Body)"/>
      </rPr>
      <t>max</t>
    </r>
    <r>
      <rPr>
        <sz val="12"/>
        <color theme="1"/>
        <rFont val="Calibri"/>
        <family val="2"/>
        <scheme val="minor"/>
      </rPr>
      <t>&gt;0.5</t>
    </r>
  </si>
  <si>
    <t>Summary of statistical fine-mapping</t>
  </si>
  <si>
    <t>No.
variants</t>
  </si>
  <si>
    <t>Left
bound (bp)</t>
  </si>
  <si>
    <t>Right
bound (bp)</t>
  </si>
  <si>
    <t>Length
(bp)</t>
  </si>
  <si>
    <t>Max PP</t>
  </si>
  <si>
    <t>Max PP
variant</t>
  </si>
  <si>
    <t>log2-fold-change
no. var</t>
  </si>
  <si>
    <t>log2-fold-change
length</t>
  </si>
  <si>
    <t>chr1:8286009</t>
  </si>
  <si>
    <t>chr1:8216986</t>
  </si>
  <si>
    <t>chr1:8261393:T_G</t>
  </si>
  <si>
    <t>chr1:24518206</t>
  </si>
  <si>
    <t>chr1:24518206:T_C</t>
  </si>
  <si>
    <t>chr1:25291010</t>
  </si>
  <si>
    <t>chr1:25294195:G_A</t>
  </si>
  <si>
    <t>chr1:67713346</t>
  </si>
  <si>
    <t>chr1:67712157:C_T</t>
  </si>
  <si>
    <t>chr1:69788482</t>
  </si>
  <si>
    <t>chr1:69732738:T_A</t>
  </si>
  <si>
    <t>chr1:78450517</t>
  </si>
  <si>
    <t xml:space="preserve"> chr1:78450517</t>
  </si>
  <si>
    <t>chr1:78450517:C_A</t>
  </si>
  <si>
    <t>chr1:152591953</t>
  </si>
  <si>
    <t>chr1:152590444:G_A</t>
  </si>
  <si>
    <t>chr1:172675097</t>
  </si>
  <si>
    <t>chr1:172682072</t>
  </si>
  <si>
    <t>chr1:172715702:A_G</t>
  </si>
  <si>
    <t>chr1:197757846</t>
  </si>
  <si>
    <t>chr1:197704717:C_T</t>
  </si>
  <si>
    <t>chr1:206655331</t>
  </si>
  <si>
    <t>chr1:206651107:G_A</t>
  </si>
  <si>
    <t>chr2:61072183</t>
  </si>
  <si>
    <t>chr2:61074576:C_G</t>
  </si>
  <si>
    <t>chr2:62560332</t>
  </si>
  <si>
    <t>chr2:62560332:A_G</t>
  </si>
  <si>
    <t>chr2:163167746</t>
  </si>
  <si>
    <t>chr2:163110536</t>
  </si>
  <si>
    <t>chr2:163110536:A_G</t>
  </si>
  <si>
    <t>chr3:16996623</t>
  </si>
  <si>
    <t>chr3:17011474</t>
  </si>
  <si>
    <t>chr3:17056031:G_A</t>
  </si>
  <si>
    <t>chr3:101647309</t>
  </si>
  <si>
    <t>chr3:101641101</t>
  </si>
  <si>
    <t>chr3:101628519:T_G</t>
  </si>
  <si>
    <t>chr3:189662658</t>
  </si>
  <si>
    <t>chr3:189662658:D</t>
  </si>
  <si>
    <t>chr3:189662658:GT_G</t>
  </si>
  <si>
    <t>chr5:40370724</t>
  </si>
  <si>
    <t>chr5:40385134:C_T</t>
  </si>
  <si>
    <t>chr5:96118852</t>
  </si>
  <si>
    <t>chr5:131996445</t>
  </si>
  <si>
    <t>chr5:131996500:A_C</t>
  </si>
  <si>
    <t>chr5:150469973</t>
  </si>
  <si>
    <t>chr5:150466690:GC_G</t>
  </si>
  <si>
    <t>chr5:158829527</t>
  </si>
  <si>
    <t>chr5:158826493:A_G</t>
  </si>
  <si>
    <t>chr6:577820</t>
  </si>
  <si>
    <t>chr6:577820:A_G</t>
  </si>
  <si>
    <t>chr6:20689945</t>
  </si>
  <si>
    <t>chr6:20689945:G_A</t>
  </si>
  <si>
    <t>chr6:111929862</t>
  </si>
  <si>
    <t>chr6:111913262:C_T</t>
  </si>
  <si>
    <t>chr6:138197824</t>
  </si>
  <si>
    <t>chr6:138197824:C_T</t>
  </si>
  <si>
    <t>chr6:159506600</t>
  </si>
  <si>
    <t>chr6:159506121</t>
  </si>
  <si>
    <t>chr6:159506600:C_T</t>
  </si>
  <si>
    <t>chr7:37385365</t>
  </si>
  <si>
    <t>chr7:37386272</t>
  </si>
  <si>
    <t>chr7:37382465:T_G</t>
  </si>
  <si>
    <t>chr9:32523737</t>
  </si>
  <si>
    <t>chr9:32499503</t>
  </si>
  <si>
    <t>chr9:32523737:T_C</t>
  </si>
  <si>
    <t>chr9:110792282</t>
  </si>
  <si>
    <t>chr10:64369999</t>
  </si>
  <si>
    <t>chr10:64369999:C_G</t>
  </si>
  <si>
    <t>chr10:75601596</t>
  </si>
  <si>
    <t>chr10:75601596:C_T</t>
  </si>
  <si>
    <t>chr10:81043743</t>
  </si>
  <si>
    <t>chr10:81043573</t>
  </si>
  <si>
    <t>chr10:81032532:A_G</t>
  </si>
  <si>
    <t>chr10:89824771</t>
  </si>
  <si>
    <t>chr10:89637201:T_A</t>
  </si>
  <si>
    <t>chr10:102038641</t>
  </si>
  <si>
    <t>chr10:101904344:G_A</t>
  </si>
  <si>
    <t>chr11:64053157</t>
  </si>
  <si>
    <t>chr11:64021605</t>
  </si>
  <si>
    <t>chr11:64107735:G_A</t>
  </si>
  <si>
    <t>chr11:65593444</t>
  </si>
  <si>
    <t>chr11:109962432</t>
  </si>
  <si>
    <t>chr11:109963438:D</t>
  </si>
  <si>
    <t>chr11:128391937</t>
  </si>
  <si>
    <t>chr11:128396738:A_G</t>
  </si>
  <si>
    <t>chr12:10597207</t>
  </si>
  <si>
    <t>chr12:56741228</t>
  </si>
  <si>
    <t>chr12:56728137</t>
  </si>
  <si>
    <t>chr12:112059557</t>
  </si>
  <si>
    <t>chr12:111884608:T_C</t>
  </si>
  <si>
    <t>chr12:122668326</t>
  </si>
  <si>
    <t>chr12:122661791</t>
  </si>
  <si>
    <t>chr13:40745693</t>
  </si>
  <si>
    <t>chr13:40796152:G_A</t>
  </si>
  <si>
    <t>chr13:45321731</t>
  </si>
  <si>
    <t>chr13:45334194</t>
  </si>
  <si>
    <t>chr13:45322344:C_CA</t>
  </si>
  <si>
    <t>chr13:99950260</t>
  </si>
  <si>
    <t>chr13:99950260:G_A</t>
  </si>
  <si>
    <t>chr14:35839236</t>
  </si>
  <si>
    <t>chr14:35832666</t>
  </si>
  <si>
    <t>chr14:35832666:T_G</t>
  </si>
  <si>
    <t>chr14:98668778</t>
  </si>
  <si>
    <t>chr15:31637666</t>
  </si>
  <si>
    <t>chr15:31641673</t>
  </si>
  <si>
    <t>chr15:31637569:G_C</t>
  </si>
  <si>
    <t>chr16:11354091</t>
  </si>
  <si>
    <t>chr16:11344903:C_T</t>
  </si>
  <si>
    <t>chr16:31021078</t>
  </si>
  <si>
    <t>chr16:31023273</t>
  </si>
  <si>
    <t>chr16:30999142:A_G</t>
  </si>
  <si>
    <t>chr17:26124908</t>
  </si>
  <si>
    <t>chr17:26124908:G_A</t>
  </si>
  <si>
    <t>chr17:40536396</t>
  </si>
  <si>
    <t>chr17:73890363</t>
  </si>
  <si>
    <t>chr17:78175483</t>
  </si>
  <si>
    <t>chr17:78176233</t>
  </si>
  <si>
    <t>chr17:78178830:A_G</t>
  </si>
  <si>
    <t>chr18:12857002</t>
  </si>
  <si>
    <t>chr18:51816394</t>
  </si>
  <si>
    <t>chr18:51797526:C_CAAAG</t>
  </si>
  <si>
    <t>chr19:10463118</t>
  </si>
  <si>
    <t>chr19:10459969</t>
  </si>
  <si>
    <t>chr19:10463118:G_C</t>
  </si>
  <si>
    <t>chr19:10886206</t>
  </si>
  <si>
    <t>chr19:11067417</t>
  </si>
  <si>
    <t>chr19:10811667:C_T</t>
  </si>
  <si>
    <t>chr19:49206417</t>
  </si>
  <si>
    <t>chr19:49203829</t>
  </si>
  <si>
    <t>chr19:49206172:C_T</t>
  </si>
  <si>
    <t>chr20:48574454</t>
  </si>
  <si>
    <t>chr20:48579164</t>
  </si>
  <si>
    <t>chr21:36488822</t>
  </si>
  <si>
    <t>chr21:36467830</t>
  </si>
  <si>
    <t>chr22:21974703</t>
  </si>
  <si>
    <t>chr22:21924587:D</t>
  </si>
  <si>
    <t>mean</t>
  </si>
  <si>
    <t>median</t>
  </si>
  <si>
    <t>Smaller BCS</t>
  </si>
  <si>
    <t>no. var ≤ 5</t>
  </si>
  <si>
    <t>Larger BCS</t>
  </si>
  <si>
    <t>no. var = 1</t>
  </si>
  <si>
    <t>Same size BCS</t>
  </si>
  <si>
    <t>Established
psoriasis signal</t>
  </si>
  <si>
    <r>
      <t>PP</t>
    </r>
    <r>
      <rPr>
        <vertAlign val="subscript"/>
        <sz val="12"/>
        <color theme="1"/>
        <rFont val="Calibri (Body)"/>
      </rPr>
      <t>max</t>
    </r>
  </si>
  <si>
    <t>95% BCS for current GWAS meta-analysis</t>
  </si>
  <si>
    <t>Current vs 2017 GWAS meta-analyses 95% BCS</t>
  </si>
  <si>
    <t>Change in
no. var</t>
  </si>
  <si>
    <t>Change in
length</t>
  </si>
  <si>
    <r>
      <t>Change in
PP</t>
    </r>
    <r>
      <rPr>
        <vertAlign val="subscript"/>
        <sz val="12"/>
        <color theme="1"/>
        <rFont val="Calibri (Body)"/>
      </rPr>
      <t>max</t>
    </r>
  </si>
  <si>
    <r>
      <t>log2-fold-change
PP</t>
    </r>
    <r>
      <rPr>
        <vertAlign val="subscript"/>
        <sz val="12"/>
        <color theme="1"/>
        <rFont val="Calibri (Body)"/>
      </rPr>
      <t>max</t>
    </r>
  </si>
  <si>
    <r>
      <t>PP</t>
    </r>
    <r>
      <rPr>
        <vertAlign val="subscript"/>
        <sz val="12"/>
        <color theme="1"/>
        <rFont val="Calibri (Body)"/>
      </rPr>
      <t>max</t>
    </r>
    <r>
      <rPr>
        <sz val="12"/>
        <color theme="1"/>
        <rFont val="Calibri"/>
        <family val="2"/>
        <scheme val="minor"/>
      </rPr>
      <t xml:space="preserve">
variant</t>
    </r>
  </si>
  <si>
    <t>PPmax &gt; 0.50</t>
  </si>
  <si>
    <t>95% BCS for 2017 GWAS meta-analysis (including 23andMe but excluding PAGE)</t>
  </si>
  <si>
    <t>Comparison of 95% Bayesian credible sets to previous GWAS meta-analysis</t>
  </si>
  <si>
    <t>KIAA2013</t>
  </si>
  <si>
    <t>n.s.</t>
  </si>
  <si>
    <t>MFN2</t>
  </si>
  <si>
    <t>MIIP</t>
  </si>
  <si>
    <t>RP11-169K16.8</t>
  </si>
  <si>
    <t>IFNLR1</t>
  </si>
  <si>
    <t>ADC</t>
  </si>
  <si>
    <t>FUBP1</t>
  </si>
  <si>
    <t>LINGO4</t>
  </si>
  <si>
    <t>LCE3C</t>
  </si>
  <si>
    <t>LCE3A</t>
  </si>
  <si>
    <t>DENND1B</t>
  </si>
  <si>
    <t>IKBKE</t>
  </si>
  <si>
    <t>C1orf147</t>
  </si>
  <si>
    <t>RASSF5</t>
  </si>
  <si>
    <t>AHSA2</t>
  </si>
  <si>
    <t>FCHO2</t>
  </si>
  <si>
    <t>none</t>
  </si>
  <si>
    <t>ERAP1</t>
  </si>
  <si>
    <t>IL4</t>
  </si>
  <si>
    <t>HSPA4</t>
  </si>
  <si>
    <t>TNIP1</t>
  </si>
  <si>
    <t>KIAA1919</t>
  </si>
  <si>
    <t>RP11-55K22.2</t>
  </si>
  <si>
    <t>IRF5</t>
  </si>
  <si>
    <t>GIMAP1</t>
  </si>
  <si>
    <t>MTFR1</t>
  </si>
  <si>
    <t>POLR2K</t>
  </si>
  <si>
    <t>TNFSF15</t>
  </si>
  <si>
    <t>FUT11</t>
  </si>
  <si>
    <t>CWF19L1</t>
  </si>
  <si>
    <t>PHBP9</t>
  </si>
  <si>
    <t>BLOC1S2</t>
  </si>
  <si>
    <t>PPP1R14B</t>
  </si>
  <si>
    <t>CCDC88B</t>
  </si>
  <si>
    <t>SNX32</t>
  </si>
  <si>
    <t>CTSW</t>
  </si>
  <si>
    <t>ZC3H12C</t>
  </si>
  <si>
    <t>POU2F3</t>
  </si>
  <si>
    <t>KLRC3</t>
  </si>
  <si>
    <t>KLRC1</t>
  </si>
  <si>
    <t>SUOX</t>
  </si>
  <si>
    <t>RPS26</t>
  </si>
  <si>
    <t>CNPY2</t>
  </si>
  <si>
    <t>STAT2</t>
  </si>
  <si>
    <t>LRRC43</t>
  </si>
  <si>
    <t>LINC00330</t>
  </si>
  <si>
    <t>AHNAK2</t>
  </si>
  <si>
    <t>CTD-3088G3.4</t>
  </si>
  <si>
    <t>HSD3B7</t>
  </si>
  <si>
    <t>STX1B</t>
  </si>
  <si>
    <t>RP11-196G11.2</t>
  </si>
  <si>
    <t>ZNF646</t>
  </si>
  <si>
    <t>PRSS53</t>
  </si>
  <si>
    <t>VKORC1</t>
  </si>
  <si>
    <t>KAT8</t>
  </si>
  <si>
    <t>ALOX15</t>
  </si>
  <si>
    <t>ARRB2</t>
  </si>
  <si>
    <t>LYRM9</t>
  </si>
  <si>
    <t>DHX58</t>
  </si>
  <si>
    <t>STAT3</t>
  </si>
  <si>
    <t>CNTNAP1</t>
  </si>
  <si>
    <t>TRIM65</t>
  </si>
  <si>
    <t>CARD14</t>
  </si>
  <si>
    <t>SGSH</t>
  </si>
  <si>
    <t>RP11-973H7.1</t>
  </si>
  <si>
    <t>POLI</t>
  </si>
  <si>
    <t>TYK2</t>
  </si>
  <si>
    <t>AP1M2</t>
  </si>
  <si>
    <t>SLC44A2</t>
  </si>
  <si>
    <t>ILF3</t>
  </si>
  <si>
    <t>TMED1</t>
  </si>
  <si>
    <t>SSBP4</t>
  </si>
  <si>
    <t>ELL</t>
  </si>
  <si>
    <t>CEBPG</t>
  </si>
  <si>
    <t>PEPD</t>
  </si>
  <si>
    <t>FAM83E</t>
  </si>
  <si>
    <t>NTN5</t>
  </si>
  <si>
    <t>FUT2</t>
  </si>
  <si>
    <t>MAMSTR</t>
  </si>
  <si>
    <t>RASIP1</t>
  </si>
  <si>
    <t>CTD-2331H12.5</t>
  </si>
  <si>
    <t>SPATA2</t>
  </si>
  <si>
    <t>KRT18P4</t>
  </si>
  <si>
    <t>MED15</t>
  </si>
  <si>
    <t>UBE2L3</t>
  </si>
  <si>
    <t>CCDC116</t>
  </si>
  <si>
    <t>L3MBTL2</t>
  </si>
  <si>
    <t>Gene</t>
  </si>
  <si>
    <t>Gene start</t>
  </si>
  <si>
    <t>Gene end</t>
  </si>
  <si>
    <t>position</t>
  </si>
  <si>
    <t>Chr.</t>
  </si>
  <si>
    <t>Effect size</t>
  </si>
  <si>
    <t>Whole blood</t>
  </si>
  <si>
    <t>Sun-exposed skin</t>
  </si>
  <si>
    <t>Sun-unexposed skin</t>
  </si>
  <si>
    <t>Associated</t>
  </si>
  <si>
    <r>
      <t xml:space="preserve">region # </t>
    </r>
    <r>
      <rPr>
        <b/>
        <vertAlign val="superscript"/>
        <sz val="12"/>
        <color theme="1"/>
        <rFont val="Calibri (Body)"/>
      </rPr>
      <t>a</t>
    </r>
  </si>
  <si>
    <t>Transcriptome-wide psoriasis-associated genes</t>
  </si>
  <si>
    <t>KIAA2013, MFN2, MIIP</t>
  </si>
  <si>
    <t>TUFT1, LINGO4, THEM5, FLG, LCE3D, LCE3C, LCE3A, LCE2A, LCE4A, C1orf68, KPRP, LCE1E, LCE1D, SPRR1B, SPRR2D, SPRR2B</t>
  </si>
  <si>
    <t>IKBKE, C1orf147, RASSF5</t>
  </si>
  <si>
    <t>CDC42SE2, PDLIM4, SLC22A5, IRF1, RAD50, IL4, KIF3A, SEPT8, HSPA4</t>
  </si>
  <si>
    <t>EBF1, GAPDHP40</t>
  </si>
  <si>
    <t>KIAA1919, TUBE1, FAM229B</t>
  </si>
  <si>
    <t>PHBP9, CWF19L1, BLOC1S2</t>
  </si>
  <si>
    <t>PPP1R14B, PRDX5, CCDC88B, EHD1, MAP3K11, KAT5, RNASEH2C, KRT8P26, RP11-770G2.2, SNX32, EFEMP2, CTSW, EIF1AD, TMEM151A</t>
  </si>
  <si>
    <t>KLRC3, KLRC1</t>
  </si>
  <si>
    <t>SUOX, IKZF4, RPS26, CNPY2, IL23A, STAT2, SPRYD4</t>
  </si>
  <si>
    <t>FAM216A, FAM109A, BRAP, ALDH2</t>
  </si>
  <si>
    <t>SRP54, PPP2R3C</t>
  </si>
  <si>
    <t>RNF40, HSD3B7, STX1B, STX4, RP11-196G11.2, ZNF668, ZNF646, PRSS53, VKORC1, BCKDK, KAT8, RP11-388M20.9, ITGAM, ITGAX</t>
  </si>
  <si>
    <t>ALOX15, ARRB2</t>
  </si>
  <si>
    <t>GALK1, UNC13D, TRIM47, TRIM65</t>
  </si>
  <si>
    <t>ICAM5, TYK2, KRI1, AP1M2, SLC44A2, ILF3-AS1, ILF3, TMED1, SMARCA4</t>
  </si>
  <si>
    <t>LRRC25, SSBP4, ELL</t>
  </si>
  <si>
    <t>CEBPG, PEPD</t>
  </si>
  <si>
    <t>SPATA2, KRT18P4</t>
  </si>
  <si>
    <t>UBE2L3, CCDC116</t>
  </si>
  <si>
    <t>PVALB, NCF4</t>
  </si>
  <si>
    <t>Total no.</t>
  </si>
  <si>
    <t>Max. distance</t>
  </si>
  <si>
    <t>to lead variant (kb)</t>
  </si>
  <si>
    <t>TWAS</t>
  </si>
  <si>
    <t>No. significant</t>
  </si>
  <si>
    <t>Significant TWAS genes</t>
  </si>
  <si>
    <t>Closest</t>
  </si>
  <si>
    <t>Furthest</t>
  </si>
  <si>
    <r>
      <rPr>
        <b/>
        <sz val="12"/>
        <color theme="1"/>
        <rFont val="Calibri"/>
        <family val="2"/>
        <scheme val="minor"/>
      </rPr>
      <t>A</t>
    </r>
    <r>
      <rPr>
        <sz val="12"/>
        <color theme="1"/>
        <rFont val="Calibri"/>
        <family val="2"/>
        <scheme val="minor"/>
      </rPr>
      <t xml:space="preserve"> - summary of TWAS results in genome-wide psoriasis-associated regions</t>
    </r>
  </si>
  <si>
    <t>rs34381583</t>
  </si>
  <si>
    <t>rs1558479</t>
  </si>
  <si>
    <t>rs113931490</t>
  </si>
  <si>
    <t>rs1371867</t>
  </si>
  <si>
    <t>rs8100297</t>
  </si>
  <si>
    <t>rs35293411</t>
  </si>
  <si>
    <t>Position</t>
  </si>
  <si>
    <t>Suggestive</t>
  </si>
  <si>
    <t>psoriasis</t>
  </si>
  <si>
    <t>variant</t>
  </si>
  <si>
    <r>
      <t>genes</t>
    </r>
    <r>
      <rPr>
        <b/>
        <vertAlign val="superscript"/>
        <sz val="12"/>
        <color theme="1"/>
        <rFont val="Calibri (Body)"/>
      </rPr>
      <t>c</t>
    </r>
  </si>
  <si>
    <r>
      <t>genes</t>
    </r>
    <r>
      <rPr>
        <b/>
        <vertAlign val="superscript"/>
        <sz val="12"/>
        <color theme="1"/>
        <rFont val="Calibri (Body)"/>
      </rPr>
      <t>b</t>
    </r>
  </si>
  <si>
    <r>
      <rPr>
        <vertAlign val="superscript"/>
        <sz val="12"/>
        <color theme="1"/>
        <rFont val="Calibri (Body)"/>
      </rPr>
      <t>b</t>
    </r>
    <r>
      <rPr>
        <sz val="12"/>
        <color theme="1"/>
        <rFont val="Calibri"/>
        <family val="2"/>
        <scheme val="minor"/>
      </rPr>
      <t xml:space="preserve"> Total no. genes refers to number of genes mapped to each region (in part A: having transcription start site within LD block or within 1Mb of lead psoriasis associated variant; in part B: having transcription start site within 1Mb of lead psoriasis-suggestive variant)</t>
    </r>
  </si>
  <si>
    <r>
      <rPr>
        <vertAlign val="superscript"/>
        <sz val="12"/>
        <color theme="1"/>
        <rFont val="Calibri (Body)"/>
      </rPr>
      <t>c</t>
    </r>
    <r>
      <rPr>
        <sz val="12"/>
        <color theme="1"/>
        <rFont val="Calibri"/>
        <family val="2"/>
        <scheme val="minor"/>
      </rPr>
      <t xml:space="preserve"> TWAS genes refers to number of genes mapped to each region that have a TWAS prediction in at least one tissue (blood, sun-exposed skin or sun-unexposed skin)</t>
    </r>
  </si>
  <si>
    <r>
      <t>TWAS genes</t>
    </r>
    <r>
      <rPr>
        <b/>
        <vertAlign val="superscript"/>
        <sz val="12"/>
        <color theme="1"/>
        <rFont val="Calibri (Body)"/>
      </rPr>
      <t>d</t>
    </r>
  </si>
  <si>
    <r>
      <t>(distance, kb)</t>
    </r>
    <r>
      <rPr>
        <b/>
        <vertAlign val="superscript"/>
        <sz val="12"/>
        <color theme="1"/>
        <rFont val="Calibri (Body)"/>
      </rPr>
      <t>e</t>
    </r>
  </si>
  <si>
    <r>
      <t>(rank)</t>
    </r>
    <r>
      <rPr>
        <b/>
        <vertAlign val="superscript"/>
        <sz val="12"/>
        <color theme="1"/>
        <rFont val="Calibri (Body)"/>
      </rPr>
      <t>e</t>
    </r>
  </si>
  <si>
    <r>
      <rPr>
        <vertAlign val="superscript"/>
        <sz val="12"/>
        <color theme="1"/>
        <rFont val="Calibri (Body)"/>
      </rPr>
      <t>e</t>
    </r>
    <r>
      <rPr>
        <sz val="12"/>
        <color theme="1"/>
        <rFont val="Calibri"/>
        <family val="2"/>
        <scheme val="minor"/>
      </rPr>
      <t xml:space="preserve"> Distance from lead variant and rank (of distance) among all genes mapped to region, for the closest and furthest transcriptome-wide significant genes</t>
    </r>
  </si>
  <si>
    <t>TWAS results summarised by genomic region</t>
  </si>
  <si>
    <t>chr5:71682285</t>
  </si>
  <si>
    <t>chr7:150412291</t>
  </si>
  <si>
    <t>chr8:66530157</t>
  </si>
  <si>
    <t>chr8:101330209</t>
  </si>
  <si>
    <t>chr19:53463473</t>
  </si>
  <si>
    <t>chr22:41479926</t>
  </si>
  <si>
    <t>CENPO, ADCY3, DNAJC27</t>
  </si>
  <si>
    <t>RP11-416L21.2, NONOP2, PUS10, AHSA2, CCT4, B3GNT2</t>
  </si>
  <si>
    <t>AGAP5, RP11-574K11.29, FUT11, PLAU</t>
  </si>
  <si>
    <t>DHX58, KCNH4, STAT3, PTRF, TUBG2, CNTNAP1, BECN1, IFI35</t>
  </si>
  <si>
    <t>CARD14, SGSH</t>
  </si>
  <si>
    <t>FAM83E, NTN5, FUT2, MAMSTR, RASIP1</t>
  </si>
  <si>
    <r>
      <rPr>
        <b/>
        <sz val="12"/>
        <color theme="1"/>
        <rFont val="Calibri"/>
        <family val="2"/>
        <scheme val="minor"/>
      </rPr>
      <t>B</t>
    </r>
    <r>
      <rPr>
        <sz val="12"/>
        <color theme="1"/>
        <rFont val="Calibri"/>
        <family val="2"/>
        <scheme val="minor"/>
      </rPr>
      <t xml:space="preserve"> - summary of TWAS results at additional psoriasis-suggestive regions (Pmeta &lt; 1e-5)</t>
    </r>
  </si>
  <si>
    <t>Gene type</t>
  </si>
  <si>
    <t>Protein coding</t>
  </si>
  <si>
    <t>Processed pseudogene</t>
  </si>
  <si>
    <t>lncRNA</t>
  </si>
  <si>
    <t>Transcribed unitary pseudogene</t>
  </si>
  <si>
    <t>Pseudogene</t>
  </si>
  <si>
    <t>Within all newly reported regions
(n=52)</t>
  </si>
  <si>
    <t>Enriched gene set</t>
  </si>
  <si>
    <r>
      <rPr>
        <b/>
        <sz val="12"/>
        <color theme="1"/>
        <rFont val="Calibri"/>
        <family val="2"/>
        <scheme val="minor"/>
      </rPr>
      <t>A</t>
    </r>
    <r>
      <rPr>
        <sz val="12"/>
        <color theme="1"/>
        <rFont val="Calibri"/>
        <family val="2"/>
        <scheme val="minor"/>
      </rPr>
      <t xml:space="preserve"> – Twenty gene sets with lowest enrichment p-value</t>
    </r>
  </si>
  <si>
    <r>
      <rPr>
        <b/>
        <sz val="12"/>
        <color theme="1"/>
        <rFont val="Calibri"/>
        <family val="2"/>
        <scheme val="minor"/>
      </rPr>
      <t>B</t>
    </r>
    <r>
      <rPr>
        <sz val="12"/>
        <color theme="1"/>
        <rFont val="Calibri"/>
        <family val="2"/>
        <scheme val="minor"/>
      </rPr>
      <t xml:space="preserve"> – Twenty gene sets with lowest enrichment p-value not identified based on known regions only at FDR&lt;5%</t>
    </r>
  </si>
  <si>
    <t>Gene set type</t>
  </si>
  <si>
    <t>GO</t>
  </si>
  <si>
    <t>Reactome</t>
  </si>
  <si>
    <t>Gene set enrichment assessed using DEPICT. GO, Gene Ontology; PPI, protein-protein interaction subnetwork; KEGG, Kyoto Encylopedia of Genes and Genomes</t>
  </si>
  <si>
    <t>PPI</t>
  </si>
  <si>
    <t>Mouse phenotype</t>
  </si>
  <si>
    <t>KEGG</t>
  </si>
  <si>
    <t>CBL subnetwork</t>
  </si>
  <si>
    <t>EGFR subnetwork</t>
  </si>
  <si>
    <t>ESX1 subnetwork</t>
  </si>
  <si>
    <t>TEC subnetwork</t>
  </si>
  <si>
    <t>Hemopoietic or lymphoid organ development</t>
  </si>
  <si>
    <t>Hemopoiesis</t>
  </si>
  <si>
    <t>Leukocyte differentiation</t>
  </si>
  <si>
    <t>Regulation of cytokine production</t>
  </si>
  <si>
    <t>Interferon-gamma production</t>
  </si>
  <si>
    <t>T cell activation involved in immune response</t>
  </si>
  <si>
    <t>Leukocyte activation</t>
  </si>
  <si>
    <t>Induction of programmed cell death</t>
  </si>
  <si>
    <t>Induction of apoptosis</t>
  </si>
  <si>
    <t>Regulation of immune response</t>
  </si>
  <si>
    <t>Cytokine production</t>
  </si>
  <si>
    <t>Leukocyte proliferation</t>
  </si>
  <si>
    <t>Regulation of T cell differentiation</t>
  </si>
  <si>
    <t>Mononuclear cell proliferation</t>
  </si>
  <si>
    <t>Lymphocyte proliferation</t>
  </si>
  <si>
    <t>Regulation of interferon-gamma production</t>
  </si>
  <si>
    <t>Cytokine metabolic process</t>
  </si>
  <si>
    <t>Positive regulation of interferon-gamma production</t>
  </si>
  <si>
    <t>Interleukin:2 signaling (Reactome)</t>
  </si>
  <si>
    <t>Lymphocyte activation</t>
  </si>
  <si>
    <t>Decreased susceptibility to viral infection</t>
  </si>
  <si>
    <t>Increased NK cell number</t>
  </si>
  <si>
    <t>Immune response-regulating cell surface receptor signaling pathway</t>
  </si>
  <si>
    <t>Positive regulation of survival gene product expression</t>
  </si>
  <si>
    <t>Immune response-activating cell surface receptor signaling pathway</t>
  </si>
  <si>
    <t>Abnormal CD8-positive T cell morphology</t>
  </si>
  <si>
    <t>Leukocyte migration</t>
  </si>
  <si>
    <t>GPVI-mediated activation cascade</t>
  </si>
  <si>
    <t>Decreased airway responsiveness</t>
  </si>
  <si>
    <t>Non-small cell lung cancer</t>
  </si>
  <si>
    <t>Cell death signalling via NRAGE, NRIF and NADE</t>
  </si>
  <si>
    <t>Leukocyte cell-cell adhesion</t>
  </si>
  <si>
    <t>Leukocyte chemotaxis</t>
  </si>
  <si>
    <t>Abnormal double-negative T cell morphology</t>
  </si>
  <si>
    <t>NRAGE signals death through JNK</t>
  </si>
  <si>
    <t>Interleukin-4 production</t>
  </si>
  <si>
    <t>Vitamin B12</t>
  </si>
  <si>
    <t>Lifestyle/QoL/Other</t>
  </si>
  <si>
    <t>Disease/Health</t>
  </si>
  <si>
    <t>Mother's age at death</t>
  </si>
  <si>
    <t>Granulocyte-colony stimulating factor</t>
  </si>
  <si>
    <t>Young Finns Study (YFS)</t>
  </si>
  <si>
    <t>Measure</t>
  </si>
  <si>
    <t>Polyunsaturated fat</t>
  </si>
  <si>
    <t>Pulse wave peak to peak time</t>
  </si>
  <si>
    <t>Cancer code, self-reported: squamous cell carcinoma</t>
  </si>
  <si>
    <t>RANTES</t>
  </si>
  <si>
    <t>Fat</t>
  </si>
  <si>
    <t>Vitamin D</t>
  </si>
  <si>
    <t>Vitamin E</t>
  </si>
  <si>
    <t>Non-cancer illness code, self-reported: sciatica</t>
  </si>
  <si>
    <t>Age at first live birth</t>
  </si>
  <si>
    <t>Age started oral contraceptive pill</t>
  </si>
  <si>
    <t>Age first had sexual intercourse</t>
  </si>
  <si>
    <t>Father's age at death</t>
  </si>
  <si>
    <t>Saturated fat</t>
  </si>
  <si>
    <t>Starch</t>
  </si>
  <si>
    <t>Educational Attainment</t>
  </si>
  <si>
    <t>SSGAC</t>
  </si>
  <si>
    <t>Energy</t>
  </si>
  <si>
    <t>Non-cancer illness code, self-reported: pneumonia</t>
  </si>
  <si>
    <t>Iron</t>
  </si>
  <si>
    <t>Dissection of aorta</t>
  </si>
  <si>
    <t>Age at last live birth</t>
  </si>
  <si>
    <t>Forced expiratory volume in 1-second (FEV1), predicted percentage</t>
  </si>
  <si>
    <t>Age started hormone-replacement therapy (HRT)</t>
  </si>
  <si>
    <t>High-density lipoprotein (HDL)</t>
  </si>
  <si>
    <t>GLGC</t>
  </si>
  <si>
    <t>Forced expiratory volume in 1-second (FEV1), Best measure</t>
  </si>
  <si>
    <t>Magnesium</t>
  </si>
  <si>
    <t>Alcohol consumed</t>
  </si>
  <si>
    <t>Forced vital capacity (FVC), Best measure</t>
  </si>
  <si>
    <t>Calcium</t>
  </si>
  <si>
    <t>Monocyte Chemotactic Protein-1 (MCP1)</t>
  </si>
  <si>
    <t>Forced expiratory volume in 1-second (FEV1)</t>
  </si>
  <si>
    <t>Forced vital capacity (FVC)</t>
  </si>
  <si>
    <t>Carbohydrate</t>
  </si>
  <si>
    <t>Englyst dietary fibre</t>
  </si>
  <si>
    <t>Fluid intelligence score</t>
  </si>
  <si>
    <t>Cognitive Performance</t>
  </si>
  <si>
    <t>Cylindrical power (left)</t>
  </si>
  <si>
    <t>Diagnoses - main ICD10: K40 Inguinal hernia</t>
  </si>
  <si>
    <t>Folate</t>
  </si>
  <si>
    <t>Diagnoses - main ICD10: H40 Glaucoma</t>
  </si>
  <si>
    <t>Impedance of arm (left)</t>
  </si>
  <si>
    <t>Impedance of arm (right)</t>
  </si>
  <si>
    <t>Age at menopause (last menstrual period)</t>
  </si>
  <si>
    <t>Impedance of whole body</t>
  </si>
  <si>
    <t>Intracranial volume (ICV)</t>
  </si>
  <si>
    <t>ENIGMA</t>
  </si>
  <si>
    <t>Eye problems/disorders: Glaucoma</t>
  </si>
  <si>
    <t>Diagnoses - main ICD10: S52 Fracture of forearm</t>
  </si>
  <si>
    <t>Total sugars</t>
  </si>
  <si>
    <t>Impedance of leg (right)</t>
  </si>
  <si>
    <t>Protein</t>
  </si>
  <si>
    <t>Impedance of leg (left)</t>
  </si>
  <si>
    <t>Retinal detachments and breaks</t>
  </si>
  <si>
    <t>Diagnoses - main ICD10: H33 Retinal detachments and breaks</t>
  </si>
  <si>
    <t>Ever had prostate specific antigen (PSA) test</t>
  </si>
  <si>
    <t>6mm regularity index (right)</t>
  </si>
  <si>
    <t>Peak expiratory flow (PEF)</t>
  </si>
  <si>
    <t>Diagnoses - main ICD10: H80 Otosclerosis</t>
  </si>
  <si>
    <t>ECG, phase time</t>
  </si>
  <si>
    <t>6mm cylindrical power (right)</t>
  </si>
  <si>
    <t>Potassium</t>
  </si>
  <si>
    <t>Retinal detachment with retinal break</t>
  </si>
  <si>
    <t>Ever heard an un-real voice</t>
  </si>
  <si>
    <t>Non-cancer illness code, self-reported: multiple sclerosis</t>
  </si>
  <si>
    <t>Non-cancer illness code, self-reported: urinary tract infection/kidney infection</t>
  </si>
  <si>
    <t>Standing height</t>
  </si>
  <si>
    <t>Diagnoses - main ICD10: C61 Malignant neoplasm of prostate</t>
  </si>
  <si>
    <t>Forced expiratory volume in 1-second (FEV1), predicted</t>
  </si>
  <si>
    <t>ECG, load</t>
  </si>
  <si>
    <t>Lymphocyte count</t>
  </si>
  <si>
    <t>UK Biobank and INTERVAL</t>
  </si>
  <si>
    <t>Malignant neoplasm of prostate</t>
  </si>
  <si>
    <t>Vitamin B6</t>
  </si>
  <si>
    <t>malignant neoplasm of male genital organs</t>
  </si>
  <si>
    <t>Cancer code, self-reported: basal cell carcinoma</t>
  </si>
  <si>
    <t>Malignant neoplasm of skin</t>
  </si>
  <si>
    <t>Intra-ocular pressure, corneal-compensated (left)</t>
  </si>
  <si>
    <t>Eotaxin</t>
  </si>
  <si>
    <t>Monocyte count</t>
  </si>
  <si>
    <t>Hearing difficulty/problems: No</t>
  </si>
  <si>
    <t>Lymphocyte percentage of white cells</t>
  </si>
  <si>
    <t>Ever seen an un-real vision</t>
  </si>
  <si>
    <t>Non-cancer illness code, self-reported: varicose veins</t>
  </si>
  <si>
    <t>Cylindrical power (right)</t>
  </si>
  <si>
    <t>QRS duration</t>
  </si>
  <si>
    <t>Hand grip strength (right)</t>
  </si>
  <si>
    <t>Retinol</t>
  </si>
  <si>
    <t>Sitting height</t>
  </si>
  <si>
    <t>Mesothelioma</t>
  </si>
  <si>
    <t>6mm asymmetry index (right)</t>
  </si>
  <si>
    <t>Diagnoses - main ICD10: C02 Malignant neoplasm of other and unspecified parts of tongue</t>
  </si>
  <si>
    <t>ECG, heart rate</t>
  </si>
  <si>
    <t>Diagnoses - main ICD10: C44 Other malignant neoplasms of skin</t>
  </si>
  <si>
    <t>Intra-ocular pressure, Goldmann-correlated (left)</t>
  </si>
  <si>
    <t>Non-cancer illness code, self-reported: glaucoma</t>
  </si>
  <si>
    <t>Hippocampus volume</t>
  </si>
  <si>
    <t>Intra-ocular pressure, corneal-compensated (right)</t>
  </si>
  <si>
    <t>Non-cancer illness code, self-reported: retinal detachment</t>
  </si>
  <si>
    <t>Lymphocyte percentage</t>
  </si>
  <si>
    <t>Caudate volume</t>
  </si>
  <si>
    <t>Monocyte percentage</t>
  </si>
  <si>
    <t>Diagnoses - main ICD10: C50 Malignant neoplasm of breast</t>
  </si>
  <si>
    <t>Hand grip strength (left)</t>
  </si>
  <si>
    <t>Low-density lipoprotein (LDL)</t>
  </si>
  <si>
    <t>Monocyte percentage of white cells</t>
  </si>
  <si>
    <t>Hypertensive heart and/or renal disease</t>
  </si>
  <si>
    <t>Adhesive capsulitis of shoulder</t>
  </si>
  <si>
    <t>Diagnoses - main ICD10: D22 Melanocytic naevi</t>
  </si>
  <si>
    <t>Plateletcrit</t>
  </si>
  <si>
    <t>Malignant neoplasm of breast</t>
  </si>
  <si>
    <t>3mm regularity index (right)</t>
  </si>
  <si>
    <t>Total cholesterol</t>
  </si>
  <si>
    <t>Ever self-harmed</t>
  </si>
  <si>
    <t>Platelet count</t>
  </si>
  <si>
    <t>Diagnoses - main ICD10: K35 Acute appendicitis</t>
  </si>
  <si>
    <t>Handedness (chirality/laterality): Left-handed</t>
  </si>
  <si>
    <t>Diagnoses - main ICD10: S01 Open wound of head</t>
  </si>
  <si>
    <t>6mm cylindrical power angle (right)</t>
  </si>
  <si>
    <t>Handedness (chirality/laterality): Right-handed</t>
  </si>
  <si>
    <t>Hair/balding pattern: Pattern 1</t>
  </si>
  <si>
    <t>Non-cancer illness code, self-reported: peripheral vascular disease</t>
  </si>
  <si>
    <t>White blood cell count</t>
  </si>
  <si>
    <t>Diagnoses - main ICD10: J47 Bronchiectasis</t>
  </si>
  <si>
    <t>Corneal resistance factor (left)</t>
  </si>
  <si>
    <t>Barret oesophagus</t>
  </si>
  <si>
    <t>Headaches for 3+ months</t>
  </si>
  <si>
    <t>Red blood cell count</t>
  </si>
  <si>
    <t>Diagnoses - main ICD10: I12 Hypertensive renal disease</t>
  </si>
  <si>
    <t>3mm asymmetry index (right)</t>
  </si>
  <si>
    <t>Diagnoses - main ICD10: S42 Fracture of shoulder and upper arm</t>
  </si>
  <si>
    <t>3mm cylindrical power angle (right)</t>
  </si>
  <si>
    <t>Skin colour</t>
  </si>
  <si>
    <t>Mean sphered cell volume</t>
  </si>
  <si>
    <t>Diagnoses - main ICD10: T50 Poisoning by diuretics and other and unspecified drugs, medicaments and biological substances</t>
  </si>
  <si>
    <t>Mouth ulcers</t>
  </si>
  <si>
    <t>Non-cancer illness code, self-reported: iron deficiency anaemia</t>
  </si>
  <si>
    <t>Intra-ocular pressure, Goldmann-correlated (right)</t>
  </si>
  <si>
    <t>Neutrophil percentage of granulocytes</t>
  </si>
  <si>
    <t>Hair colour (natural, before greying): Dark brown</t>
  </si>
  <si>
    <t>Non-cancer illness code, self-reported: head injury</t>
  </si>
  <si>
    <t>P duration</t>
  </si>
  <si>
    <t>Doctor diagnosed hayfever or allergic rhinitis</t>
  </si>
  <si>
    <t>Hair colour (natural, before greying): Blonde</t>
  </si>
  <si>
    <t>Pallidum volume</t>
  </si>
  <si>
    <t>Hair/balding pattern: Pattern 3</t>
  </si>
  <si>
    <t>Primary gonarthrosis, bilateral</t>
  </si>
  <si>
    <t>Ease of skin tanning</t>
  </si>
  <si>
    <t>3mm asymmetry index (left)</t>
  </si>
  <si>
    <t>Diagnoses - main ICD10: M15 Polyarthrosis</t>
  </si>
  <si>
    <t>Diagnoses - main ICD10: E04 Other non-toxic goitre</t>
  </si>
  <si>
    <t>6mm asymmetry index (left)</t>
  </si>
  <si>
    <t>Height</t>
  </si>
  <si>
    <t>GIANT Consortium</t>
  </si>
  <si>
    <t>Hair/balding pattern: Pattern 2</t>
  </si>
  <si>
    <t>Hallux rigidus</t>
  </si>
  <si>
    <t>Mouth/teeth dental problems: Mouth ulcers</t>
  </si>
  <si>
    <t>Platelet crit</t>
  </si>
  <si>
    <t>Myeloid white cell count</t>
  </si>
  <si>
    <t>Non-cancer illness code, self-reported: hiv/aids</t>
  </si>
  <si>
    <t>Mental health problems ever diagnosed by a professional: Anxiety, nerves or generalized anxiety disorder</t>
  </si>
  <si>
    <t>Corneal hysteresis (left)</t>
  </si>
  <si>
    <t>Mean platelet volume</t>
  </si>
  <si>
    <t>Diagnoses - main ICD10: R53 Malaise and fatigue</t>
  </si>
  <si>
    <t>3mm cylindrical power angle (left)</t>
  </si>
  <si>
    <t>Neutrophil count</t>
  </si>
  <si>
    <t>Mean corpuscular hemoglobin concentration</t>
  </si>
  <si>
    <t>Sum neutrophil eosinophil counts</t>
  </si>
  <si>
    <t>Granulocyte count</t>
  </si>
  <si>
    <t>6mm regularity index (left)</t>
  </si>
  <si>
    <t>ECG, phase duration</t>
  </si>
  <si>
    <t>Non-cancer illness code, self-reported: back problem</t>
  </si>
  <si>
    <t>Diagnoses - main ICD10: C15 Malignant neoplasm of oesophagus</t>
  </si>
  <si>
    <t>Astigmatism angle (right)</t>
  </si>
  <si>
    <t>Diagnoses - main ICD10: H53 Visual disturbances</t>
  </si>
  <si>
    <t>Visual disturbances</t>
  </si>
  <si>
    <t>Sum eosinophil basophil counts</t>
  </si>
  <si>
    <t>Birth weight</t>
  </si>
  <si>
    <t>Eosinophil percentage of granulocytes</t>
  </si>
  <si>
    <t>Actinic keratosis</t>
  </si>
  <si>
    <t>6mm cylindrical power (left)</t>
  </si>
  <si>
    <t>Corneal resistance factor (right)</t>
  </si>
  <si>
    <t>Diagnoses - main ICD10: M20 Acquired deformities of fingers and toes</t>
  </si>
  <si>
    <t>Hallux valgus (acquired)</t>
  </si>
  <si>
    <t>Mean corpuscular volume</t>
  </si>
  <si>
    <t>Non-cancer illness code, self-reported: sleep apnoea</t>
  </si>
  <si>
    <t>Eosinophil count</t>
  </si>
  <si>
    <t>Diagnoses - main ICD10: N43 Hydrocele and spermatocele</t>
  </si>
  <si>
    <t>3mm cylindrical power (right)</t>
  </si>
  <si>
    <t>Hemoglobin concentration</t>
  </si>
  <si>
    <t>Mean platelet (thrombocyte) volume</t>
  </si>
  <si>
    <t>Hematocrit</t>
  </si>
  <si>
    <t>Diagnoses - main ICD10: N40 Hyperplasia of prostate</t>
  </si>
  <si>
    <t>6mm cylindrical power angle (left)</t>
  </si>
  <si>
    <t>Non-cancer illness code, self-reported: osteoporosis</t>
  </si>
  <si>
    <t>Heel bone mineral density (BMD) (right)</t>
  </si>
  <si>
    <t>Red blood cell (erythrocyte) count</t>
  </si>
  <si>
    <t>Diagnoses - main ICD10: N92 Excessive, frequent and irregular menstruation</t>
  </si>
  <si>
    <t>Heel bone mineral density (BMD) T-score, automated (right)</t>
  </si>
  <si>
    <t>Heel quantitative ultrasound index (QUI), direct entry (right)</t>
  </si>
  <si>
    <t>Ganglion</t>
  </si>
  <si>
    <t>Cancer code, self-reported: malignant melanoma</t>
  </si>
  <si>
    <t>Mental health problems ever diagnosed by a professional: Obsessive compulsive disorder (OCD)</t>
  </si>
  <si>
    <t>Diagnoses - main ICD10: N84 Polyp of female genital tract</t>
  </si>
  <si>
    <t>Eosinophil percentage of white cells</t>
  </si>
  <si>
    <t>Non-cancer illness code, self-reported: helicobacter pylori</t>
  </si>
  <si>
    <t>Heel quantitative ultrasound index (QUI), direct entry</t>
  </si>
  <si>
    <t>Pain type(s) experienced in last month: Headache</t>
  </si>
  <si>
    <t>Heel bone mineral density (BMD)</t>
  </si>
  <si>
    <t>Death due to cardiac causes</t>
  </si>
  <si>
    <t>Mean corpuscular haemoglobin</t>
  </si>
  <si>
    <t>Heel broadband ultrasound attenuation (right)</t>
  </si>
  <si>
    <t>Heel bone mineral density (BMD) T-score, automated (left)</t>
  </si>
  <si>
    <t>Heel quantitative ultrasound index (QUI), direct entry (left)</t>
  </si>
  <si>
    <t>3mm asymmetry angle (right)</t>
  </si>
  <si>
    <t>Sleep apnoea</t>
  </si>
  <si>
    <t>3mm strong meridian (right)</t>
  </si>
  <si>
    <t>Corneal hysteresis (right)</t>
  </si>
  <si>
    <t>Heel bone mineral density (BMD) (left)</t>
  </si>
  <si>
    <t>Thalamus volume</t>
  </si>
  <si>
    <t>Bone mineral density</t>
  </si>
  <si>
    <t>GEFOS</t>
  </si>
  <si>
    <t>Mean corpuscular hemoglobin</t>
  </si>
  <si>
    <t>Ever depressed for a whole week</t>
  </si>
  <si>
    <t>Mood [affective] disorders</t>
  </si>
  <si>
    <t>Mood disorders</t>
  </si>
  <si>
    <t>3mm strong meridian (left)</t>
  </si>
  <si>
    <t>Diagnoses - main ICD10: F31 Bipolar affective disorder</t>
  </si>
  <si>
    <t>Diagnoses - main ICD10: R14 Flatulence and related conditions</t>
  </si>
  <si>
    <t>Neutrophill percentage</t>
  </si>
  <si>
    <t>Systolic blood pressure, automated reading</t>
  </si>
  <si>
    <t>Astigmatism angle (left)</t>
  </si>
  <si>
    <t>Diastolic blood pressure, automated reading</t>
  </si>
  <si>
    <t>Blood clot, DVT, bronchitis, emphysema, asthma, rhinitis, eczema, allergy diagnosed by doctor: Hayfever, allergic rhinitis or eczema</t>
  </si>
  <si>
    <t>logMAR, final (right)</t>
  </si>
  <si>
    <t>Non-cancer illness code, self-reported: other abdominal problem</t>
  </si>
  <si>
    <t>Stomach/abdominal pain for 3+ months</t>
  </si>
  <si>
    <t>Red cell distribution width</t>
  </si>
  <si>
    <t>Diagnoses - main ICD10: G47 Sleep disorders</t>
  </si>
  <si>
    <t>6mm weak meridian (right)</t>
  </si>
  <si>
    <t>6mm strong meridian (left)</t>
  </si>
  <si>
    <t>Hair/balding pattern: Pattern 4</t>
  </si>
  <si>
    <t>Bleeding gums</t>
  </si>
  <si>
    <t>Non-cancer illness code, self-reported: mania/bipolar disorder/manic depression</t>
  </si>
  <si>
    <t>Heel Broadband ultrasound attenuation, direct entry</t>
  </si>
  <si>
    <t>Vitamin C</t>
  </si>
  <si>
    <t>Ever addicted to alcohol</t>
  </si>
  <si>
    <t>logMAR, final (left)</t>
  </si>
  <si>
    <t>6mm weak meridian (left)</t>
  </si>
  <si>
    <t>Non-cancer illness code, self-reported: diverticular disease/diverticulitis</t>
  </si>
  <si>
    <t>Eosinophill percentage</t>
  </si>
  <si>
    <t>Heel broadband ultrasound attenuation (left)</t>
  </si>
  <si>
    <t>Diagnoses - main ICD10: C43 Malignant melanoma of skin</t>
  </si>
  <si>
    <t>Entropion and trichiasis of eyelid</t>
  </si>
  <si>
    <t>Ever manic/hyper for 2 days</t>
  </si>
  <si>
    <t>Haematocrit percentage</t>
  </si>
  <si>
    <t>3mm cylindrical power (left)</t>
  </si>
  <si>
    <t>Non-cancer illness code, self-reported: anxiety/panic attacks</t>
  </si>
  <si>
    <t>3mm weak meridian (left)</t>
  </si>
  <si>
    <t>Hearing difficulty/problems with background noise</t>
  </si>
  <si>
    <t>Pulse rate</t>
  </si>
  <si>
    <t>Diagnoses - main ICD10: C18 Malignant neoplasm of colon</t>
  </si>
  <si>
    <t>Age at death</t>
  </si>
  <si>
    <t>Accumbens volume</t>
  </si>
  <si>
    <t>Ever had prolonged feelings of sadness or depression</t>
  </si>
  <si>
    <t>Diagnoses - main ICD10: F10 Mental and behavioural disorders due to use of alcohol</t>
  </si>
  <si>
    <t>Hair colour (natural, before greying): Light brown</t>
  </si>
  <si>
    <t>6mm strong meridian (right)</t>
  </si>
  <si>
    <t>Wears glasses or contact lenses</t>
  </si>
  <si>
    <t>Pulse rate, automated reading</t>
  </si>
  <si>
    <t>Hair colour (natural, before greying): Black</t>
  </si>
  <si>
    <t>Schizophrenia</t>
  </si>
  <si>
    <t>PGC</t>
  </si>
  <si>
    <t>Diagnoses - main ICD10: D12 Benign neoplasm of colon, rectum, anus and anal canal</t>
  </si>
  <si>
    <t>Polyneuropathies and other disorders of the peripheral nervous system</t>
  </si>
  <si>
    <t>Diagnoses - main ICD10: K60 Fissure and fistula of anal and rectal regions</t>
  </si>
  <si>
    <t>Diagnoses - main ICD10: I71 Aortic aneurysm and dissection</t>
  </si>
  <si>
    <t>Diagnoses - main ICD10: M72 Fibroblastic disorders</t>
  </si>
  <si>
    <t>Mental health problems ever diagnosed by a professional: Social anxiety or social phobia</t>
  </si>
  <si>
    <t>Fibroblastic disorders</t>
  </si>
  <si>
    <t>Malignant neoplasm of digestive organs</t>
  </si>
  <si>
    <t>Neutrophil percentage of white cells</t>
  </si>
  <si>
    <t>Diagnoses - main ICD10: C67 Malignant neoplasm of bladder</t>
  </si>
  <si>
    <t>Depression</t>
  </si>
  <si>
    <t>Hearing difficulty/problems: Yes</t>
  </si>
  <si>
    <t>Non-cancer illness code, self-reported: nasal polyps</t>
  </si>
  <si>
    <t>Granulocyte percentage of myeloid white cells</t>
  </si>
  <si>
    <t>Platelet distribution width</t>
  </si>
  <si>
    <t>Coxarthrosis [arthrosis of hip](FG)</t>
  </si>
  <si>
    <t>Diagnoses - main ICD10: M16 Coxarthrosis [arthrosis of hip]</t>
  </si>
  <si>
    <t>Mouth/teeth dental problems: Bleeding gums</t>
  </si>
  <si>
    <t>Trunk predicted mass</t>
  </si>
  <si>
    <t>Trunk fat-free mass</t>
  </si>
  <si>
    <t>Diagnoses - main ICD10: R35 Polyuria</t>
  </si>
  <si>
    <t>Bone fractures</t>
  </si>
  <si>
    <t>Ever suffered mental distress preventing usual activities</t>
  </si>
  <si>
    <t>Haemoglobin concentration</t>
  </si>
  <si>
    <t>Palmar fascial fibromatosis [Dupuytren]</t>
  </si>
  <si>
    <t>Diagnoses - main ICD10: H65 Nonsuppurative otitis media</t>
  </si>
  <si>
    <t>Diagnoses - main ICD10: R32 Unspecified urinary incontinence</t>
  </si>
  <si>
    <t>Ever felt worried, tense, or anxious for most of a month or longer</t>
  </si>
  <si>
    <t>Diagnoses - main ICD10: G37 Other demyelinating diseases of central nervous system</t>
  </si>
  <si>
    <t>White blood cell (leukocyte) count</t>
  </si>
  <si>
    <t>Mean corpuscular haemoglobin concentration</t>
  </si>
  <si>
    <t>Ever sought or received professional help for mental distress</t>
  </si>
  <si>
    <t>Red blood cell (erythrocyte) distribution width</t>
  </si>
  <si>
    <t>Diagnoses - main ICD10: H25 Senile cataract</t>
  </si>
  <si>
    <t>Non-cancer illness code, self-reported: hayfever/allergic rhinitis</t>
  </si>
  <si>
    <t>Spherical power (right)</t>
  </si>
  <si>
    <t>Doctor diagnosed asthma</t>
  </si>
  <si>
    <t>Stem Cell Growth Factor beta</t>
  </si>
  <si>
    <t>Diagnoses - main ICD10: D25 Leiomyoma of uterus</t>
  </si>
  <si>
    <t>Hernia</t>
  </si>
  <si>
    <t>Spherical power (left)</t>
  </si>
  <si>
    <t>6mm asymmetry angle (right)</t>
  </si>
  <si>
    <t>Ulcerative colitis, NAS</t>
  </si>
  <si>
    <t>Cardiomyopathies, Primary/intrinsic</t>
  </si>
  <si>
    <t>Basophill percentage</t>
  </si>
  <si>
    <t>Mean reticulocyte volume</t>
  </si>
  <si>
    <t>Diagnoses - main ICD10: N20 Calculus of kidney and ureter</t>
  </si>
  <si>
    <t>Neutrophill count</t>
  </si>
  <si>
    <t>Putamen volume</t>
  </si>
  <si>
    <t>Ankle spacing width (left)</t>
  </si>
  <si>
    <t>6mm asymmetry angle (left)</t>
  </si>
  <si>
    <t>Diagnoses - main ICD10: K57 Diverticular disease of intestine</t>
  </si>
  <si>
    <t>Diagnoses - main ICD10: K85 Acute pancreatitis</t>
  </si>
  <si>
    <t>Non-cancer illness code, self-reported: asthma</t>
  </si>
  <si>
    <t>Ankle spacing width (right)</t>
  </si>
  <si>
    <t>Diagnoses - main ICD10: I83 Varicose veins of lower extremities</t>
  </si>
  <si>
    <t>Diagnoses - main ICD10: K51 Ulcerative colitis</t>
  </si>
  <si>
    <t>Blood clot, DVT, bronchitis, emphysema, asthma, rhinitis, eczema, allergy diagnosed by doctor: Asthma</t>
  </si>
  <si>
    <t>Diagnoses - main ICD10: F32 Depressive episode</t>
  </si>
  <si>
    <t>Non-cancer illness code, self-reported: gout</t>
  </si>
  <si>
    <t>Potassium in urine</t>
  </si>
  <si>
    <t>Reticulocyte count</t>
  </si>
  <si>
    <t>Ankle spacing width</t>
  </si>
  <si>
    <t>Mental health problems ever diagnosed by a professional: Depression</t>
  </si>
  <si>
    <t>Diagnoses - main ICD10: N80 Endometriosis</t>
  </si>
  <si>
    <t>Diagnoses - main ICD10: I26 Pulmonary embolism</t>
  </si>
  <si>
    <t>3mm asymmetry angle (left)</t>
  </si>
  <si>
    <t>Whole body fat-free mass</t>
  </si>
  <si>
    <t>Diagnoses - main ICD10: I48 Atrial fibrillation and flutter</t>
  </si>
  <si>
    <t>Whole body water mass</t>
  </si>
  <si>
    <t>Non-cancer illness code, self-reported: heart valve problem/heart murmur</t>
  </si>
  <si>
    <t>Hearing aid user</t>
  </si>
  <si>
    <t>Reticulocyte fraction of red cells</t>
  </si>
  <si>
    <t>Basic Nerve Growth Factor</t>
  </si>
  <si>
    <t>Fractured/broken bones in last 5 years</t>
  </si>
  <si>
    <t>Macrophage migration Inhibitory Factor (MIF)</t>
  </si>
  <si>
    <t>Bipolar Disorder</t>
  </si>
  <si>
    <t>Diagnoses - main ICD10: M17 Gonarthrosis [arthrosis of knee]</t>
  </si>
  <si>
    <t>Gonarthrosis [arthrosis of knee](FG)</t>
  </si>
  <si>
    <t>Malignant melanoma of skin</t>
  </si>
  <si>
    <t>Ulcer of oesophagus</t>
  </si>
  <si>
    <t>Diagnoses - main ICD10: N60 Benign mammary dysplasia</t>
  </si>
  <si>
    <t>Miserableness</t>
  </si>
  <si>
    <t>Diagnoses - main ICD10: R31 Unspecified haematuria</t>
  </si>
  <si>
    <t>Ever had prolonged loss of interest in normal activities</t>
  </si>
  <si>
    <t>Cough on most days</t>
  </si>
  <si>
    <t>Diagnoses - main ICD10: R04 Haemorrhage from respiratory passages</t>
  </si>
  <si>
    <t>Non-cancer illness code, self-reported: pernicious anaemia</t>
  </si>
  <si>
    <t>Diagnoses - main ICD10: C25 Malignant neoplasm of pancreas</t>
  </si>
  <si>
    <t>Diagnoses - main ICD10: M75 Shoulder lesions</t>
  </si>
  <si>
    <t>Shoulder lesions</t>
  </si>
  <si>
    <t>Diagnoses - main ICD10: K43 Ventral hernia</t>
  </si>
  <si>
    <t>Non-cancer illness code, self-reported: alcohol dependency</t>
  </si>
  <si>
    <t>Ever worried more than most people would in similar situation</t>
  </si>
  <si>
    <t>Leg predicted mass (right)</t>
  </si>
  <si>
    <t>Ventricular rate</t>
  </si>
  <si>
    <t>Ever smoked</t>
  </si>
  <si>
    <t>Leg fat-free mass (right)</t>
  </si>
  <si>
    <t>Non-cancer illness code, self-reported: atrial fibrillation</t>
  </si>
  <si>
    <t>Mouth/teeth dental problems: Painful gums</t>
  </si>
  <si>
    <t>Malignant neoplasm of colon</t>
  </si>
  <si>
    <t>Arm fat-free mass (right)</t>
  </si>
  <si>
    <t>Non-cancer illness code, self-reported: polymyalgia rheumatica</t>
  </si>
  <si>
    <t>Arm predicted mass (right)</t>
  </si>
  <si>
    <t>Heart failure</t>
  </si>
  <si>
    <t>Heart failure, not strict</t>
  </si>
  <si>
    <t>Heart failure,strict</t>
  </si>
  <si>
    <t>Non-cancer illness code, self-reported: hyperthyroidism/thyrotoxicosis</t>
  </si>
  <si>
    <t>Sodium in urine</t>
  </si>
  <si>
    <t>Rotator cuff syndrome</t>
  </si>
  <si>
    <t>Diagnoses - main ICD10: I42 Cardiomyopathy</t>
  </si>
  <si>
    <t>High light scatter reticulocyte count</t>
  </si>
  <si>
    <t>#Arthrosis</t>
  </si>
  <si>
    <t>DVT of lower extremities and pulmonary embolism</t>
  </si>
  <si>
    <t>High light scatter reticulocyte percentage of red cells</t>
  </si>
  <si>
    <t>Non-cancer illness code, self-reported: leg claudication/ intermittent claudication</t>
  </si>
  <si>
    <t>Basal metabolic rate</t>
  </si>
  <si>
    <t>Diagnoses - main ICD10: I50 Heart failure</t>
  </si>
  <si>
    <t>Arm fat-free mass (left)</t>
  </si>
  <si>
    <t>Arm predicted mass (left)</t>
  </si>
  <si>
    <t>Leg fat-free mass (left)</t>
  </si>
  <si>
    <t>Leg predicted mass (left)</t>
  </si>
  <si>
    <t>Episodal and paroxysmal disorders</t>
  </si>
  <si>
    <t>Diagnoses - main ICD10: I84 Haemorrhoids</t>
  </si>
  <si>
    <t>Suggestive for eosinophilic asthma</t>
  </si>
  <si>
    <t>Osteoporosis</t>
  </si>
  <si>
    <t>Impingement syndrome of shoulder</t>
  </si>
  <si>
    <t>Non-cancer illness code, self-reported: urinary frequency / incontinence</t>
  </si>
  <si>
    <t>Non-cancer illness code, self-reported: depression</t>
  </si>
  <si>
    <t>Diagnoses - main ICD10: H26 Other cataract</t>
  </si>
  <si>
    <t>DVT of lower extremities</t>
  </si>
  <si>
    <t>Paingul gums</t>
  </si>
  <si>
    <t>Venous thromboembolism</t>
  </si>
  <si>
    <t>Ever highly irritable/argumentative for 2 days</t>
  </si>
  <si>
    <t>Glomerulonephritis</t>
  </si>
  <si>
    <t>Myocardial infarction</t>
  </si>
  <si>
    <t>Myocardial infarction, strict</t>
  </si>
  <si>
    <t>Immature fraction of reticulocytes</t>
  </si>
  <si>
    <t>Non-cancer illness code, self-reported: eczema/dermatitis</t>
  </si>
  <si>
    <t>Diagnoses - main ICD10: J33 Nasal polyp</t>
  </si>
  <si>
    <t>Diagnoses - main ICD10: I21 Acute myocardial infarction</t>
  </si>
  <si>
    <t>Non-cancer illness code, self-reported: transient ischaemic attack (tia)</t>
  </si>
  <si>
    <t>Spinal stenosis</t>
  </si>
  <si>
    <t>Ever unenthusiastic/disinterested for a whole week</t>
  </si>
  <si>
    <t>Triglycerides</t>
  </si>
  <si>
    <t>Diagnoses - main ICD10: M81 Osteoporosis without pathological fracture</t>
  </si>
  <si>
    <t>Non-cancer illness code, self-reported: kidney stone/ureter stone/bladder stone</t>
  </si>
  <si>
    <t>Olecranon bursitis</t>
  </si>
  <si>
    <t>Non-cancer illness code, self-reported: crohns disease</t>
  </si>
  <si>
    <t>Townsend deprivation index at recruitment</t>
  </si>
  <si>
    <t>Non-cancer illness code, self-reported: chronic fatigue syndrome</t>
  </si>
  <si>
    <t>Pain type(s) experienced in last month: Back pain</t>
  </si>
  <si>
    <t>Pain type(s) experienced in last month: Facial pain</t>
  </si>
  <si>
    <t>Spondylopathies (FG)</t>
  </si>
  <si>
    <t>Carpal tunnel syndrome</t>
  </si>
  <si>
    <t>Non-cancer illness code, self-reported: gastro-oesophageal reflux (gord) / gastric reflux</t>
  </si>
  <si>
    <t>Diagnoses - main ICD10: S66 Injury of muscle and tendon at wrist and hand level</t>
  </si>
  <si>
    <t>Non-cancer illness code, self-reported: high cholesterol</t>
  </si>
  <si>
    <t>Ever used hormone-replacement therapy (HRT)</t>
  </si>
  <si>
    <t>Vascular/heart problems diagnosed by doctor: High blood pressure</t>
  </si>
  <si>
    <t>Pulse wave reflection index</t>
  </si>
  <si>
    <t>Back pain</t>
  </si>
  <si>
    <t>UK Biobank + CHARGE</t>
  </si>
  <si>
    <t>Non-cancer illness code, self-reported: heart arrhythmia</t>
  </si>
  <si>
    <t>Ever had period of mania / excitability</t>
  </si>
  <si>
    <t>Pain type(s) experienced in last month: Stomach or abdominal pain</t>
  </si>
  <si>
    <t>Lung cancer and mesothelioma</t>
  </si>
  <si>
    <t>Bilateral oophorectomy (both ovaries removed)</t>
  </si>
  <si>
    <t>Non-cancer illness code, self-reported: hypertension</t>
  </si>
  <si>
    <t xml:space="preserve"> Major Depresive Disorder</t>
  </si>
  <si>
    <t>Psychiatric Genomics Consortium</t>
  </si>
  <si>
    <t>Non-cancer illness code, self-reported: ulcerative colitis</t>
  </si>
  <si>
    <t>Diagnoses - main ICD10: I80 Phlebitis and thrombophlebitis</t>
  </si>
  <si>
    <t>Diagnoses - main ICD10: K29 Gastritis and duodenitis</t>
  </si>
  <si>
    <t>Diagnoses - main ICD10: M23 Internal derangement of knee</t>
  </si>
  <si>
    <t>Diagnoses - main ICD10: K21 Gastro-oesophageal reflux disease</t>
  </si>
  <si>
    <t>Knee pain for 3+ months</t>
  </si>
  <si>
    <t>Non-cancer illness code, self-reported: spine arthritis/spondylitis</t>
  </si>
  <si>
    <t>Fracture resulting from simple fall</t>
  </si>
  <si>
    <t>Diagnoses - main ICD10: D23 Other benign neoplasms of skin</t>
  </si>
  <si>
    <t>Diagnoses - main ICD10: G56 Mononeuropathies of upper limb</t>
  </si>
  <si>
    <t>Hypertensive diseases</t>
  </si>
  <si>
    <t>Pain type(s) experienced in last month: Hip pain</t>
  </si>
  <si>
    <t>Reticulocyte percentage</t>
  </si>
  <si>
    <t>Hypertension</t>
  </si>
  <si>
    <t>Ever had hysterectomy (womb removed)</t>
  </si>
  <si>
    <t>Toothache</t>
  </si>
  <si>
    <t>Malignant neoplasm of bronchus and lung</t>
  </si>
  <si>
    <t>Non-cancer illness code, self-reported: cervical spondylosis</t>
  </si>
  <si>
    <t>Coronary atherosclerosis</t>
  </si>
  <si>
    <t>Non-cancer illness code, self-reported: cholelithiasis/gall stones</t>
  </si>
  <si>
    <t>Trigger finger</t>
  </si>
  <si>
    <t>Diagnoses - main ICD10: M54 Dorsalgia</t>
  </si>
  <si>
    <t>Dorsalgia</t>
  </si>
  <si>
    <t>Low back pain</t>
  </si>
  <si>
    <t>Non-cancer illness code, self-reported: irritable bowel syndrome</t>
  </si>
  <si>
    <t>Back pain for 3+ months</t>
  </si>
  <si>
    <t>Major coronary heart disease event</t>
  </si>
  <si>
    <t>Major coronary heart disease event excluding revascularizations</t>
  </si>
  <si>
    <t>Eye problems/disorders: Diabetes related eye disease</t>
  </si>
  <si>
    <t>Diagnoses - main ICD10: I25 Chronic ischaemic heart disease</t>
  </si>
  <si>
    <t>Decayed, Missing and Filled tooth Surfaces (DMFS) + Dentures</t>
  </si>
  <si>
    <t>UK Biobank + GLIDE</t>
  </si>
  <si>
    <t>Diagnoses - main ICD10: D17 Benign lipomatous neoplasm</t>
  </si>
  <si>
    <t>Diagnoses - main ICD10: K50 Crohn's disease [regional enteritis]</t>
  </si>
  <si>
    <t>BMI</t>
  </si>
  <si>
    <t>Malignant neoplasm of respiratory system and intrathoracic organs</t>
  </si>
  <si>
    <t>Blood clot, DVT, bronchitis, emphysema, asthma, rhinitis, eczema, allergy diagnosed by doctor: Blood clot in the lung</t>
  </si>
  <si>
    <t>Diagnoses - main ICD10: L72 Follicular cysts of skin and subcutaneous tissue</t>
  </si>
  <si>
    <t>High light scatter reticulocyte percentage</t>
  </si>
  <si>
    <t>Meniscus derangement</t>
  </si>
  <si>
    <t>Non-cancer illness code, self-reported: type 2 diabetes</t>
  </si>
  <si>
    <t>Interferon gamma-induced Protein 10 (IP10)</t>
  </si>
  <si>
    <t>Mental health problems ever diagnosed by a professional: Panic attacks</t>
  </si>
  <si>
    <t>Weight</t>
  </si>
  <si>
    <t>Non-cancer illness code, self-reported: heart attack/myocardial infarction</t>
  </si>
  <si>
    <t>Non-cancer illness code, self-reported: pulmonary embolism +/- dvt</t>
  </si>
  <si>
    <t>Diagnoses - main ICD10: D86 Sarcoidosis</t>
  </si>
  <si>
    <t>Vascular/heart problems diagnosed by doctor: Heart attack</t>
  </si>
  <si>
    <t>Blood clot, DVT, bronchitis, emphysema, asthma, rhinitis, eczema, allergy diagnosed by doctor: Emphysema/chronic bronchitis</t>
  </si>
  <si>
    <t>Coeliac disease</t>
  </si>
  <si>
    <t>Non-cancer illness code, self-reported: cataract</t>
  </si>
  <si>
    <t>Hip circumference</t>
  </si>
  <si>
    <t>Ischaemic heart disease, wide definition</t>
  </si>
  <si>
    <t>Non-cancer illness code, self-reported: emphysema/chronic bronchitis</t>
  </si>
  <si>
    <t>Dentures</t>
  </si>
  <si>
    <t>Eye problems/disorders: Cataract</t>
  </si>
  <si>
    <t>Mouth/teeth dental problems: Toothache</t>
  </si>
  <si>
    <t>Pain type(s) experienced in last month: Knee pain</t>
  </si>
  <si>
    <t>Diagnoses - main ICD10: K81 Cholecystitis</t>
  </si>
  <si>
    <t>Ever addicted to any substance or behaviour</t>
  </si>
  <si>
    <t>Diagnoses - main ICD10: K80 Cholelithiasis</t>
  </si>
  <si>
    <t>Multisite chronic pain</t>
  </si>
  <si>
    <t>Chron's disease NAS</t>
  </si>
  <si>
    <t>Diagnoses - main ICD10: R55 Syncope and collapse</t>
  </si>
  <si>
    <t>Chest pain or discomfort</t>
  </si>
  <si>
    <t>Diagnoses - main ICD10: D50 Iron deficiency anaemia</t>
  </si>
  <si>
    <t>Iron deficiency anaemia</t>
  </si>
  <si>
    <t>Diagnoses - main ICD10: L03 Cellulitis</t>
  </si>
  <si>
    <t>Ever had period extreme irritability</t>
  </si>
  <si>
    <t>Lateral epicondylitis</t>
  </si>
  <si>
    <t>Diagnoses - main ICD10: K42 Umbilical hernia</t>
  </si>
  <si>
    <t>Mouth/teeth dental problems: Dentures</t>
  </si>
  <si>
    <t>Diabetes diagnosed by doctor</t>
  </si>
  <si>
    <t>Non-cancer illness code, self-reported: osteoarthritis</t>
  </si>
  <si>
    <t>Diagnoses - main ICD10: I35 Nonrheumatic aortic valve disorders</t>
  </si>
  <si>
    <t>Pulse wave Arterial Stiffness index</t>
  </si>
  <si>
    <t>Immature reticulocyte fraction</t>
  </si>
  <si>
    <t>Diagnoses - main ICD10: N81 Female genital prolapse</t>
  </si>
  <si>
    <t>Diagnoses - main ICD10: K30 Dyspepsia</t>
  </si>
  <si>
    <t>Trunk fat mass</t>
  </si>
  <si>
    <t>#Spondylopathies</t>
  </si>
  <si>
    <t>3mm regularity index (left)</t>
  </si>
  <si>
    <t>Diagnoses - main ICD10: E11 Non-insulin-dependent diabetes mellitus</t>
  </si>
  <si>
    <t>Non-cancer illness code, self-reported: diabetes</t>
  </si>
  <si>
    <t>Trunk fat percentage</t>
  </si>
  <si>
    <t>Tobacco and Genetics Consortium</t>
  </si>
  <si>
    <t>Whole body fat mass</t>
  </si>
  <si>
    <t>Handedness (chirality/laterality): Use both right and left hands equally</t>
  </si>
  <si>
    <t>Non-cancer illness code, self-reported: malabsorption/coeliac disease</t>
  </si>
  <si>
    <t>Non-cancer illness code, self-reported: deep venous thrombosis (dvt)</t>
  </si>
  <si>
    <t>Wheeze or whistling in the chest in last year</t>
  </si>
  <si>
    <t>Type 2 diabetes</t>
  </si>
  <si>
    <t>Leg fat mass (right)</t>
  </si>
  <si>
    <t>Diagnoses - main ICD10: C34 Malignant neoplasm of bronchus and lung</t>
  </si>
  <si>
    <t>Arm fat mass (right)</t>
  </si>
  <si>
    <t>Non-cancer illness code, self-reported: hypothyroidism/myxoedema</t>
  </si>
  <si>
    <t>Arm fat mass (left)</t>
  </si>
  <si>
    <t>Leg fat mass (left)</t>
  </si>
  <si>
    <t>Periodontitis + loose teeth</t>
  </si>
  <si>
    <t>UK Biobank +GLIDE</t>
  </si>
  <si>
    <t>Body fat percentage</t>
  </si>
  <si>
    <t>Neck/shoulder pain for 3+ months</t>
  </si>
  <si>
    <t>Body mass index (BMI)</t>
  </si>
  <si>
    <t>Diagnoses - main ICD10: K20 Oesophagitis</t>
  </si>
  <si>
    <t>Non-cancer illness code, self-reported: chronic obstructive airways disease/copd</t>
  </si>
  <si>
    <t>Diagnoses - main ICD10: K90 Intestinal malabsorption</t>
  </si>
  <si>
    <t>Mouth/teeth dental problems: Loose teeth</t>
  </si>
  <si>
    <t>Arm fat percentage (left)</t>
  </si>
  <si>
    <t>Waist circumference</t>
  </si>
  <si>
    <t>Arm fat percentage (right)</t>
  </si>
  <si>
    <t>Leg fat percentage (right)</t>
  </si>
  <si>
    <t>Diagnoses - main ICD10: R10 Abdominal and pelvic pain</t>
  </si>
  <si>
    <t>Diagnoses - main ICD10: I20 Angina pectoris</t>
  </si>
  <si>
    <t>Leg fat percentage (left)</t>
  </si>
  <si>
    <t>Blood clot, DVT, bronchitis, emphysema, asthma, rhinitis, eczema, allergy diagnosed by doctor: Blood clot in the leg (DVT)</t>
  </si>
  <si>
    <t>Non-cancer illness code, self-reported: rheumatoid arthritis</t>
  </si>
  <si>
    <t>Non-cancer illness code, self-reported: hiatus hernia</t>
  </si>
  <si>
    <t>Asthma</t>
  </si>
  <si>
    <t>Childhood asthma (age&lt;16)</t>
  </si>
  <si>
    <t>Diagnoses - main ICD10: R91 Abnormal findings on diagnostic imaging of lung</t>
  </si>
  <si>
    <t>Diagnoses - main ICD10: J45 Asthma</t>
  </si>
  <si>
    <t>Diagnoses - main ICD10: R51 Headache</t>
  </si>
  <si>
    <t>Diagnoses - main ICD10: J44 Other chronic obstructive pulmonary disease</t>
  </si>
  <si>
    <t>Diagnoses - main ICD10: N47 Redundant prepuce, phimosis and paraphimosis</t>
  </si>
  <si>
    <t>Diagnoses - main ICD10: M47 Spondylosis</t>
  </si>
  <si>
    <t>Vascular/heart problems diagnosed by doctor: Angina</t>
  </si>
  <si>
    <t>Loose teeth</t>
  </si>
  <si>
    <t>Diagnoses - main ICD10: M65 Synovitis and tenosynovitis</t>
  </si>
  <si>
    <t>Microalbumin in urine</t>
  </si>
  <si>
    <t>Diagnoses - main ICD10: J18 Pneumonia, organism unspecified</t>
  </si>
  <si>
    <t>Diagnoses - main ICD10: I10 Essential (primary) hypertension</t>
  </si>
  <si>
    <t>Doctor diagnosed sarcoidosis</t>
  </si>
  <si>
    <t>Peripheral artery disease</t>
  </si>
  <si>
    <t>Diagnoses - main ICD10: R07 Pain in throat and chest</t>
  </si>
  <si>
    <t>Non-cancer illness code, self-reported: sarcoidosis</t>
  </si>
  <si>
    <t>Endocrine, nutritional and metabolic diseases</t>
  </si>
  <si>
    <t>Diagnoses - main ICD10: S82 Fracture of lower leg, including ankle</t>
  </si>
  <si>
    <t>STROKE</t>
  </si>
  <si>
    <t>Diagnoses - main ICD10: E87 Other disorders of fluid, electrolyte and acid-base balance</t>
  </si>
  <si>
    <t>Diagnoses - main ICD10: K44 Diaphragmatic hernia</t>
  </si>
  <si>
    <t>Asthma-related pneumonia</t>
  </si>
  <si>
    <t>Pneumonias (Asthma/COPD co-morbidities)</t>
  </si>
  <si>
    <t>Diagnoses - main ICD10: E66 Obesity</t>
  </si>
  <si>
    <t>Obesity</t>
  </si>
  <si>
    <t>#Polyarthropathies</t>
  </si>
  <si>
    <t>IL2ra</t>
  </si>
  <si>
    <t>Unstable angina pectoris</t>
  </si>
  <si>
    <t>Diagnoses - main ICD10: S62 Fracture at wrist and hand level</t>
  </si>
  <si>
    <t>Pain type(s) experienced in last month: Pain all over the body</t>
  </si>
  <si>
    <t>Noninfectious colitis NAS</t>
  </si>
  <si>
    <t>Diagnoses - main ICD10: T39 Poisoning by nonopioid analgesics, antipyretics and antirheumatics</t>
  </si>
  <si>
    <t>Vascular/heart problems diagnosed by doctor: Stroke</t>
  </si>
  <si>
    <t>Diagnoses - main ICD10: K52 Other non-infective gastro-enteritis and colitis</t>
  </si>
  <si>
    <t>Non-cancer illness code, self-reported: stroke</t>
  </si>
  <si>
    <t>Leg pain in calf/calves</t>
  </si>
  <si>
    <t>Rheumatoid arthritis</t>
  </si>
  <si>
    <t>Phenotype</t>
  </si>
  <si>
    <t>Source cohort</t>
  </si>
  <si>
    <t>Phenotype category</t>
  </si>
  <si>
    <r>
      <t>h</t>
    </r>
    <r>
      <rPr>
        <b/>
        <vertAlign val="superscript"/>
        <sz val="12"/>
        <color theme="1"/>
        <rFont val="Calibri"/>
        <family val="2"/>
        <scheme val="minor"/>
      </rPr>
      <t>2</t>
    </r>
    <r>
      <rPr>
        <b/>
        <sz val="12"/>
        <color theme="1"/>
        <rFont val="Calibri"/>
        <family val="2"/>
        <scheme val="minor"/>
      </rPr>
      <t xml:space="preserve"> std. error</t>
    </r>
  </si>
  <si>
    <r>
      <t>Genetic correlation (r</t>
    </r>
    <r>
      <rPr>
        <b/>
        <vertAlign val="subscript"/>
        <sz val="12"/>
        <color theme="1"/>
        <rFont val="Calibri"/>
        <family val="2"/>
        <scheme val="minor"/>
      </rPr>
      <t>g</t>
    </r>
    <r>
      <rPr>
        <b/>
        <sz val="12"/>
        <color theme="1"/>
        <rFont val="Calibri"/>
        <family val="2"/>
        <scheme val="minor"/>
      </rPr>
      <t>)</t>
    </r>
  </si>
  <si>
    <r>
      <t>r</t>
    </r>
    <r>
      <rPr>
        <b/>
        <vertAlign val="subscript"/>
        <sz val="12"/>
        <color theme="1"/>
        <rFont val="Calibri"/>
        <family val="2"/>
        <scheme val="minor"/>
      </rPr>
      <t>g</t>
    </r>
    <r>
      <rPr>
        <b/>
        <sz val="12"/>
        <color theme="1"/>
        <rFont val="Calibri"/>
        <family val="2"/>
        <scheme val="minor"/>
      </rPr>
      <t xml:space="preserve"> std. error</t>
    </r>
  </si>
  <si>
    <t>1:67705958_G/A</t>
  </si>
  <si>
    <t>IL23R</t>
  </si>
  <si>
    <t>Missense</t>
  </si>
  <si>
    <t>R126Q; R143Q; R381Q</t>
  </si>
  <si>
    <t>chr1:65151018-76975228</t>
  </si>
  <si>
    <t>1:67712157</t>
  </si>
  <si>
    <t>Known</t>
  </si>
  <si>
    <t>Primary</t>
  </si>
  <si>
    <t>1:151803449_G/T</t>
  </si>
  <si>
    <t>RORC</t>
  </si>
  <si>
    <t>H53N</t>
  </si>
  <si>
    <t>chr1:149705121-154709825</t>
  </si>
  <si>
    <t>1:151794100</t>
  </si>
  <si>
    <t>Secondary</t>
  </si>
  <si>
    <t>2:111598958_C/T</t>
  </si>
  <si>
    <t>ACOXL</t>
  </si>
  <si>
    <t>T30M; T93M; T255M</t>
  </si>
  <si>
    <t>chr2:107780988-112030011</t>
  </si>
  <si>
    <t>2:111629125</t>
  </si>
  <si>
    <t>Newly reported</t>
  </si>
  <si>
    <t>5:35874575_C/T</t>
  </si>
  <si>
    <t>IL7R</t>
  </si>
  <si>
    <t>T244I</t>
  </si>
  <si>
    <t>chr5:34566074-36433954</t>
  </si>
  <si>
    <t>5:35846815</t>
  </si>
  <si>
    <t>5:96118852_G/C</t>
  </si>
  <si>
    <t>Q730E</t>
  </si>
  <si>
    <t>chr5:95110880-96477601</t>
  </si>
  <si>
    <t>5:96120259</t>
  </si>
  <si>
    <t>5:96231000_G/T</t>
  </si>
  <si>
    <t>ERAP2</t>
  </si>
  <si>
    <t>K99N; K347N; K392N</t>
  </si>
  <si>
    <t>5:96229750</t>
  </si>
  <si>
    <t>5:131995964_A/G</t>
  </si>
  <si>
    <t>IL13</t>
  </si>
  <si>
    <t>Q144R</t>
  </si>
  <si>
    <t>chr5:126940944-134968415</t>
  </si>
  <si>
    <t>5:131996500</t>
  </si>
  <si>
    <t>chr6:24014202-36343527</t>
  </si>
  <si>
    <t>TRAF3IP2</t>
  </si>
  <si>
    <t>D10N; D19N</t>
  </si>
  <si>
    <t>chr6:110654996-123108402</t>
  </si>
  <si>
    <t>6:111913262</t>
  </si>
  <si>
    <t>CPVL</t>
  </si>
  <si>
    <t>Y52H; Y98H; Y168H</t>
  </si>
  <si>
    <t>chr7:28712513-29197970</t>
  </si>
  <si>
    <t>7:29132279</t>
  </si>
  <si>
    <t>9:32480251_A/T</t>
  </si>
  <si>
    <t>DDX58</t>
  </si>
  <si>
    <t>D377E; D509E; D535E; D580E</t>
  </si>
  <si>
    <t>chr9:31118528-36745517</t>
  </si>
  <si>
    <t>9:32451144</t>
  </si>
  <si>
    <t>H152R; H154R</t>
  </si>
  <si>
    <t>chr11:117298216-120390709</t>
  </si>
  <si>
    <t>11:120175749</t>
  </si>
  <si>
    <t>12:10560957_T/C</t>
  </si>
  <si>
    <t>KLRC4</t>
  </si>
  <si>
    <t>N104S</t>
  </si>
  <si>
    <t>chr12:10481523-11752307</t>
  </si>
  <si>
    <t>12:10580303</t>
  </si>
  <si>
    <t>12:10562089_A/C</t>
  </si>
  <si>
    <t>I29S</t>
  </si>
  <si>
    <t>12:56660905_G/T</t>
  </si>
  <si>
    <t>COQ10A</t>
  </si>
  <si>
    <t>Start lost</t>
  </si>
  <si>
    <t>chr12:52647027-61740306</t>
  </si>
  <si>
    <t>12:56688237</t>
  </si>
  <si>
    <t>12:56740682_C/G</t>
  </si>
  <si>
    <t>M590I; M594I</t>
  </si>
  <si>
    <t>SH2B3</t>
  </si>
  <si>
    <t>W60R; W262R</t>
  </si>
  <si>
    <t>chr12:109025044-113264274</t>
  </si>
  <si>
    <t>12:111884608</t>
  </si>
  <si>
    <t>16:30996872_G/C</t>
  </si>
  <si>
    <t>AC135048.1</t>
  </si>
  <si>
    <t>A221G</t>
  </si>
  <si>
    <t>chr16:28020777-51066021</t>
  </si>
  <si>
    <t>16:30999142</t>
  </si>
  <si>
    <t>T250A</t>
  </si>
  <si>
    <t>16:31090407_G/C</t>
  </si>
  <si>
    <t>G921A</t>
  </si>
  <si>
    <t>16:31092075_G/A</t>
  </si>
  <si>
    <t>G1477D</t>
  </si>
  <si>
    <t>16:31096164_G/C</t>
  </si>
  <si>
    <t>P406A</t>
  </si>
  <si>
    <t>17:4574751_T/A</t>
  </si>
  <si>
    <t>PELP1</t>
  </si>
  <si>
    <t>T902S; T1036S; T1126S; T1176S; T1270S</t>
  </si>
  <si>
    <t>chr17:4455699-5737306</t>
  </si>
  <si>
    <t>17:4610727</t>
  </si>
  <si>
    <t>17:40257055_T/C</t>
  </si>
  <si>
    <t>N461S</t>
  </si>
  <si>
    <t>chr17:35285540-48123759</t>
  </si>
  <si>
    <t>17:43359891</t>
  </si>
  <si>
    <t>17:43507008_G/C</t>
  </si>
  <si>
    <t>ARHGAP27</t>
  </si>
  <si>
    <t>P213R</t>
  </si>
  <si>
    <t>17:43922942_T/C</t>
  </si>
  <si>
    <t>SPPL2C</t>
  </si>
  <si>
    <t>S224P</t>
  </si>
  <si>
    <t>17:43923266_G/A</t>
  </si>
  <si>
    <t>A332T</t>
  </si>
  <si>
    <t>17:43923683_A/G</t>
  </si>
  <si>
    <t>I471V</t>
  </si>
  <si>
    <t>17:43924130_G/A</t>
  </si>
  <si>
    <t>G620R</t>
  </si>
  <si>
    <t>17:44055647_A/T</t>
  </si>
  <si>
    <t>MAPT</t>
  </si>
  <si>
    <t>Stop gain</t>
  </si>
  <si>
    <t>K3*</t>
  </si>
  <si>
    <t>17:44060775_C/T</t>
  </si>
  <si>
    <t>P202L</t>
  </si>
  <si>
    <t>17:44061023_G/A</t>
  </si>
  <si>
    <t>D285N</t>
  </si>
  <si>
    <t>17:44061036_T/C</t>
  </si>
  <si>
    <t>V289A</t>
  </si>
  <si>
    <t>17:44067400_T/C</t>
  </si>
  <si>
    <t>S447P</t>
  </si>
  <si>
    <t>17:44076665_A/G</t>
  </si>
  <si>
    <t>STH</t>
  </si>
  <si>
    <t>Q7R</t>
  </si>
  <si>
    <t>17:44108906_A/G</t>
  </si>
  <si>
    <t>KANSL1</t>
  </si>
  <si>
    <t>I379T; I1021T; I1085T</t>
  </si>
  <si>
    <t>17:44117119_A/G</t>
  </si>
  <si>
    <t>S75P; S718P</t>
  </si>
  <si>
    <t>17:78178893_C/T</t>
  </si>
  <si>
    <t>R820W</t>
  </si>
  <si>
    <t>chr17:77943023-79335567</t>
  </si>
  <si>
    <t>17:78178830</t>
  </si>
  <si>
    <t>19:4311977_C/T</t>
  </si>
  <si>
    <t>FSD1</t>
  </si>
  <si>
    <t>P210L</t>
  </si>
  <si>
    <t>chr19:3906651-4551554</t>
  </si>
  <si>
    <t>19:4328755</t>
  </si>
  <si>
    <t>STAP2</t>
  </si>
  <si>
    <t>Y6*; Y169*</t>
  </si>
  <si>
    <t>P18A; P127A; P919A; P1104A</t>
  </si>
  <si>
    <t>chr19:10038972-11280551</t>
  </si>
  <si>
    <t>19:10463118</t>
  </si>
  <si>
    <t>I499S; I684S</t>
  </si>
  <si>
    <t>19:10469975</t>
  </si>
  <si>
    <t>19:10577843_C/A</t>
  </si>
  <si>
    <t>PDE4A</t>
  </si>
  <si>
    <t>A497E; A675E; A710E; A714E; A736E</t>
  </si>
  <si>
    <t>19:10585233</t>
  </si>
  <si>
    <t>19:10742170_A/G</t>
  </si>
  <si>
    <t>Q99R; Q101R; Q152R; Q154R</t>
  </si>
  <si>
    <t>19:11034039_T/A</t>
  </si>
  <si>
    <t>YIPF2</t>
  </si>
  <si>
    <t>H150L</t>
  </si>
  <si>
    <t>19:33878837_G/A</t>
  </si>
  <si>
    <t>L371F; L394F; L435F</t>
  </si>
  <si>
    <t>chr19:32573487-34140146</t>
  </si>
  <si>
    <t>19:33874354</t>
  </si>
  <si>
    <t>19:49206674_G/A</t>
  </si>
  <si>
    <t>W154*</t>
  </si>
  <si>
    <t>chr19:48509877-49415794</t>
  </si>
  <si>
    <t>19:49206172</t>
  </si>
  <si>
    <t>19:49206985_G/A</t>
  </si>
  <si>
    <t>G258S</t>
  </si>
  <si>
    <t>Protein-altering variant</t>
  </si>
  <si>
    <t>Consequence</t>
  </si>
  <si>
    <t>CADD score</t>
  </si>
  <si>
    <t>Psoriasis susceptibility region</t>
  </si>
  <si>
    <t>Independent signal lead SNP</t>
  </si>
  <si>
    <t>Region type</t>
  </si>
  <si>
    <t>Signal type</t>
  </si>
  <si>
    <r>
      <t>PP</t>
    </r>
    <r>
      <rPr>
        <b/>
        <vertAlign val="subscript"/>
        <sz val="12"/>
        <color theme="1"/>
        <rFont val="Calibri"/>
        <family val="2"/>
        <scheme val="minor"/>
      </rPr>
      <t>prot-alt</t>
    </r>
  </si>
  <si>
    <t>P</t>
  </si>
  <si>
    <t>rs34394770</t>
  </si>
  <si>
    <t>Yin et al, Nat Commun (2015)</t>
  </si>
  <si>
    <t>+++-++-+++++++-+++</t>
  </si>
  <si>
    <t>ATAG</t>
  </si>
  <si>
    <t>---+--+------++--?</t>
  </si>
  <si>
    <t>rs8128234</t>
  </si>
  <si>
    <t>++++++++++-+++++++</t>
  </si>
  <si>
    <t>++++-+-++--++++++?</t>
  </si>
  <si>
    <t>Publication</t>
  </si>
  <si>
    <t>Variant</t>
  </si>
  <si>
    <t>Previously reported lead variant</t>
  </si>
  <si>
    <t>N/A</t>
  </si>
  <si>
    <r>
      <t>Established psoriasis
loci in Europeans</t>
    </r>
    <r>
      <rPr>
        <b/>
        <vertAlign val="superscript"/>
        <sz val="12"/>
        <color theme="1"/>
        <rFont val="Calibri (Body)"/>
      </rPr>
      <t>a</t>
    </r>
  </si>
  <si>
    <r>
      <rPr>
        <vertAlign val="superscript"/>
        <sz val="12"/>
        <color theme="1"/>
        <rFont val="Calibri (Body)"/>
      </rPr>
      <t>a</t>
    </r>
    <r>
      <rPr>
        <sz val="12"/>
        <color theme="1"/>
        <rFont val="Calibri"/>
        <family val="2"/>
        <scheme val="minor"/>
      </rPr>
      <t xml:space="preserve"> Correspond to 65 previously reported psoriasis loci reported collectively in Tsoi et al Nat Commun 2017, Dand et al Hum Mol Genet 2017 and Patrick et al Nat Commun 2018. We find in some cases that multiple previously reported loci map to the same LD block here.</t>
    </r>
  </si>
  <si>
    <r>
      <rPr>
        <vertAlign val="superscript"/>
        <sz val="12"/>
        <color theme="1"/>
        <rFont val="Calibri (Body)"/>
      </rPr>
      <t>b</t>
    </r>
    <r>
      <rPr>
        <sz val="12"/>
        <color theme="1"/>
        <rFont val="Calibri"/>
        <family val="2"/>
        <scheme val="minor"/>
      </rPr>
      <t xml:space="preserve"> Other previous reports of genome-wide significant associations within an LD block (for example in non-European populations) - only populated for LD blocks with no established psoriasis loci in Europeans.</t>
    </r>
  </si>
  <si>
    <t>rs2274976 (1:11850927) and rs5063 (1:11907648) both Han Chinese (Zuo et al, Nat Commun 2015); rs2103876 (1:12053100) trans-ethnic Eur and South Asian (Stuart et al, HGG Adv 2022)</t>
  </si>
  <si>
    <t>rs12046909 (1:168507463) trans-ethnic Eur and South Asian (Stuart et al, HGG Adv 2022)</t>
  </si>
  <si>
    <t>rs1420101 (2:102957716) Han Chinese (Zuo et al, Nat Commun 2015)</t>
  </si>
  <si>
    <t>rs1042636 (3:159043196) Han Chinese (Zuo et al, Nat Commun 2015)</t>
  </si>
  <si>
    <t>rs143700362 (4:122754459) Han Chinese (Yang et al, J Invest Dermatol 2019)</t>
  </si>
  <si>
    <t>rs35343117 (15:86079115) previously identified in Eur but did not replicate (Tsoi et al, Nat Commun 2015)</t>
  </si>
  <si>
    <t>Genome-wide
(n=149)</t>
  </si>
  <si>
    <t>Outside MHC region
(n=148)</t>
  </si>
  <si>
    <t>Within all previously known regions
(n=97)</t>
  </si>
  <si>
    <t>Within MHC region
(n=1, lead signal only)</t>
  </si>
  <si>
    <t>Psoriasis
prevalence
assumed</t>
  </si>
  <si>
    <t>All inferred independent signals used with estimated joint effect sizes in all regions except for MHC, which used single lead signal with marginal effect (see Methods).</t>
  </si>
  <si>
    <r>
      <t>Including MHC block</t>
    </r>
    <r>
      <rPr>
        <vertAlign val="superscript"/>
        <sz val="12"/>
        <color theme="1"/>
        <rFont val="Calibri (Body)"/>
      </rPr>
      <t>a</t>
    </r>
  </si>
  <si>
    <r>
      <rPr>
        <vertAlign val="superscript"/>
        <sz val="12"/>
        <color theme="1"/>
        <rFont val="Calibri (Body)"/>
      </rPr>
      <t>a</t>
    </r>
    <r>
      <rPr>
        <sz val="12"/>
        <color theme="1"/>
        <rFont val="Calibri"/>
        <family val="2"/>
        <scheme val="minor"/>
      </rPr>
      <t xml:space="preserve"> Note that secondary signals were not mapped within the MHC block</t>
    </r>
  </si>
  <si>
    <t>chr6:31266090</t>
  </si>
  <si>
    <t>5:96120259:C_T</t>
  </si>
  <si>
    <t>6:31346655:G_A</t>
  </si>
  <si>
    <t>9:110778738:G_T</t>
  </si>
  <si>
    <t>11:65595697:G_A</t>
  </si>
  <si>
    <t>11:109977273:G_A</t>
  </si>
  <si>
    <t>12:10580303:T_C</t>
  </si>
  <si>
    <t>12:56688237:G_A</t>
  </si>
  <si>
    <t>12:122661791:C_T</t>
  </si>
  <si>
    <t>14:98659847:A_G</t>
  </si>
  <si>
    <t>17:40541608:AC_A</t>
  </si>
  <si>
    <t>17:73822583:C_A</t>
  </si>
  <si>
    <t>18:12857002:G_T</t>
  </si>
  <si>
    <t>20:48568929:G_T</t>
  </si>
  <si>
    <t>21:36507995:C_T</t>
  </si>
  <si>
    <t>22:21979938:C_T</t>
  </si>
  <si>
    <t>Previously reported European psoriasis susceptibility loci not found genome-wide significantly associated</t>
  </si>
  <si>
    <t>Variance explained by independent psoriasis susceptibility signals</t>
  </si>
  <si>
    <t>Protein-altering variants in psoriasis susceptibility regions</t>
  </si>
  <si>
    <t>Gene sets with strongest evidence for enrichment of genes in psoriasis-associated regions</t>
  </si>
  <si>
    <t>Genetic correlations with psoriasis susceptibility</t>
  </si>
  <si>
    <t>Estimate</t>
  </si>
  <si>
    <t>Std. Err</t>
  </si>
  <si>
    <t>Genetic causality proportion (GCP)</t>
  </si>
  <si>
    <r>
      <t>Genetic correlation (r</t>
    </r>
    <r>
      <rPr>
        <b/>
        <vertAlign val="subscript"/>
        <sz val="12"/>
        <color theme="1"/>
        <rFont val="Calibri (Body)"/>
      </rPr>
      <t>g</t>
    </r>
    <r>
      <rPr>
        <b/>
        <sz val="12"/>
        <color theme="1"/>
        <rFont val="Calibri"/>
        <family val="2"/>
        <scheme val="minor"/>
      </rPr>
      <t>)</t>
    </r>
  </si>
  <si>
    <r>
      <t>Results of estimating genetic causality proportion (GCP) for all 284 tested traits for which genetic correlation (r</t>
    </r>
    <r>
      <rPr>
        <vertAlign val="subscript"/>
        <sz val="12"/>
        <rFont val="Calibri (Body)"/>
      </rPr>
      <t>g</t>
    </r>
    <r>
      <rPr>
        <sz val="12"/>
        <rFont val="Calibri"/>
        <family val="2"/>
        <scheme val="minor"/>
      </rPr>
      <t>) is significantly non-zero (FDR&lt;0.05). FDR, false discovery rate.</t>
    </r>
  </si>
  <si>
    <t>n</t>
  </si>
  <si>
    <t>BCS size</t>
  </si>
  <si>
    <t>26-100</t>
  </si>
  <si>
    <t>101-500</t>
  </si>
  <si>
    <t>&gt;500</t>
  </si>
  <si>
    <t>2-5</t>
  </si>
  <si>
    <t>6-10</t>
  </si>
  <si>
    <t>11-25</t>
  </si>
  <si>
    <t>Mean</t>
  </si>
  <si>
    <t>Median</t>
  </si>
  <si>
    <t>Variant regulatory probabilites estimated by TURF, summarised by size of Bayesian credible set. BCS, Bayesian credible set</t>
  </si>
  <si>
    <r>
      <rPr>
        <sz val="12"/>
        <color theme="1"/>
        <rFont val="Calibri (Body)"/>
      </rPr>
      <t>Max. of skin- and blood-specific probability</t>
    </r>
    <r>
      <rPr>
        <vertAlign val="superscript"/>
        <sz val="12"/>
        <color theme="1"/>
        <rFont val="Calibri"/>
        <family val="2"/>
        <scheme val="minor"/>
      </rPr>
      <t>a</t>
    </r>
  </si>
  <si>
    <t>Generic regulatory probability</t>
  </si>
  <si>
    <r>
      <t>P-value</t>
    </r>
    <r>
      <rPr>
        <vertAlign val="superscript"/>
        <sz val="12"/>
        <color theme="1"/>
        <rFont val="Calibri (Body)"/>
      </rPr>
      <t>b</t>
    </r>
  </si>
  <si>
    <r>
      <t>P-value adj.</t>
    </r>
    <r>
      <rPr>
        <vertAlign val="superscript"/>
        <sz val="12"/>
        <color theme="1"/>
        <rFont val="Calibri (Body)"/>
      </rPr>
      <t>c</t>
    </r>
  </si>
  <si>
    <r>
      <rPr>
        <vertAlign val="superscript"/>
        <sz val="12"/>
        <rFont val="Calibri (Body)"/>
      </rPr>
      <t>a</t>
    </r>
    <r>
      <rPr>
        <sz val="12"/>
        <rFont val="Calibri"/>
        <family val="2"/>
        <scheme val="minor"/>
      </rPr>
      <t xml:space="preserve"> For each variant, the maximum of skin-specific and blood-specific regulatory probability is used</t>
    </r>
  </si>
  <si>
    <t>chr2:60293242-64701421</t>
  </si>
  <si>
    <t>2:62560332</t>
  </si>
  <si>
    <t>2:62559205_T/C</t>
  </si>
  <si>
    <t>&gt;5 tissues</t>
  </si>
  <si>
    <t>chr3:189043925-189452847</t>
  </si>
  <si>
    <t>3:189220585</t>
  </si>
  <si>
    <t>chr5:155456446-159387074</t>
  </si>
  <si>
    <t>5:158857873</t>
  </si>
  <si>
    <t>5:158871681_T/A</t>
  </si>
  <si>
    <t>adipose_tissue; breast; nerve; vagina</t>
  </si>
  <si>
    <t>spleen</t>
  </si>
  <si>
    <t>6:111932873</t>
  </si>
  <si>
    <t>chr8:59726957-62003563</t>
  </si>
  <si>
    <t>8:61841979</t>
  </si>
  <si>
    <t>connective_tissue; lung</t>
  </si>
  <si>
    <t>chr12:5750131-6478092</t>
  </si>
  <si>
    <t>12:6468303</t>
  </si>
  <si>
    <t>epithelium; esophagus; mammary_gland</t>
  </si>
  <si>
    <t>chr12:94514599-94922415</t>
  </si>
  <si>
    <t>12:94544520</t>
  </si>
  <si>
    <t>penis</t>
  </si>
  <si>
    <t>chr17:15305646-30899190</t>
  </si>
  <si>
    <t>17:26124908</t>
  </si>
  <si>
    <t>colon; esophagus; intestine; large_intestine</t>
  </si>
  <si>
    <t>gonad; testis</t>
  </si>
  <si>
    <t>exocrine_gland; mammary_gland</t>
  </si>
  <si>
    <t>chr20:49595820-51901210</t>
  </si>
  <si>
    <t>20:50142524</t>
  </si>
  <si>
    <t>20:50142923_C/T</t>
  </si>
  <si>
    <t>chr21:37997683-41109472</t>
  </si>
  <si>
    <t>21:40282556</t>
  </si>
  <si>
    <t>21:40285486_C/T</t>
  </si>
  <si>
    <t>ear</t>
  </si>
  <si>
    <t>Psoriasis-associated
genomic region</t>
  </si>
  <si>
    <t>Independent signal</t>
  </si>
  <si>
    <t>Candidate regulatory variant</t>
  </si>
  <si>
    <t>TURF generic probability</t>
  </si>
  <si>
    <t>TURF blood-specific probability</t>
  </si>
  <si>
    <t>TURF skin-specific probability</t>
  </si>
  <si>
    <t>Share of TURF generic probability</t>
  </si>
  <si>
    <t>Variant in BCS with next highest TURF generic probability</t>
  </si>
  <si>
    <t>n/a</t>
  </si>
  <si>
    <t>Variants identified by TURF with high generic regulatory probability (&gt;0.7), high share of regulatory probability across their Bayesian credible set (&gt;50%) and low probability that other variants in the BCS are regulatory (all &lt;0.5). BCS, Bayesian credible set; n/a, not applicable</t>
  </si>
  <si>
    <t>Next highest TURF generic probability</t>
  </si>
  <si>
    <t>chr1:7605783-9067984</t>
  </si>
  <si>
    <t>chr1:11711076-12266177</t>
  </si>
  <si>
    <t>chr1:15686534-17547392</t>
  </si>
  <si>
    <t>chr1:23908610-24528096</t>
  </si>
  <si>
    <t>chr1:24528097-25307419</t>
  </si>
  <si>
    <t>chr1:31218841-34056003</t>
  </si>
  <si>
    <t>chr1:76975229-81354028</t>
  </si>
  <si>
    <t>chr1:160650693-161975082</t>
  </si>
  <si>
    <t>chr1:168370940-169578628</t>
  </si>
  <si>
    <t>chr1:169578629-175427191</t>
  </si>
  <si>
    <t>chr1:192552139-199240293</t>
  </si>
  <si>
    <t>chr1:206056721-208181931</t>
  </si>
  <si>
    <t>chr2:23218061-28672561</t>
  </si>
  <si>
    <t>chr2:101338963-105130553</t>
  </si>
  <si>
    <t>chr2:158889051-168506220</t>
  </si>
  <si>
    <t>chr2:197067152-199655638</t>
  </si>
  <si>
    <t>chr2:230385553-231844050</t>
  </si>
  <si>
    <t>chr2:233550331-234141356</t>
  </si>
  <si>
    <t>chr2:238811039-239951115</t>
  </si>
  <si>
    <t>chr3:14817509-20953022</t>
  </si>
  <si>
    <t>chr3:77153111-101902027</t>
  </si>
  <si>
    <t>chr3:154801181-168271146</t>
  </si>
  <si>
    <t>chr3:187461130-188326593</t>
  </si>
  <si>
    <t>chr3:189452848-189846573</t>
  </si>
  <si>
    <t>chr3:196317113-198022430</t>
  </si>
  <si>
    <t>chr4:115297875-126481149</t>
  </si>
  <si>
    <t>chr5:38720017-54192112</t>
  </si>
  <si>
    <t>chr5:55883560-56335503</t>
  </si>
  <si>
    <t>chr5:148808822-150916745</t>
  </si>
  <si>
    <t>chr6:1-1283320</t>
  </si>
  <si>
    <t>chr6:20236286-21683621</t>
  </si>
  <si>
    <t>chr6:137606494-138302841</t>
  </si>
  <si>
    <t>chr6:158193486-159950480</t>
  </si>
  <si>
    <t>chr7:16654963-17593990</t>
  </si>
  <si>
    <t>chr7:36550522-37489496</t>
  </si>
  <si>
    <t>chr7:127908745-129931330</t>
  </si>
  <si>
    <t>chr8:80770876-81331520</t>
  </si>
  <si>
    <t>chr8:126411670-126764777</t>
  </si>
  <si>
    <t>chr8:129309450-130380941</t>
  </si>
  <si>
    <t>chr9:110137536-112778707</t>
  </si>
  <si>
    <t>chr9:116735584-117700280</t>
  </si>
  <si>
    <t>chr10:5985447-6270160</t>
  </si>
  <si>
    <t>chr10:6270161-6618515</t>
  </si>
  <si>
    <t>chr10:60666006-71627683</t>
  </si>
  <si>
    <t>chr10:73284303-77997067</t>
  </si>
  <si>
    <t>chr10:80876153-81187765</t>
  </si>
  <si>
    <t>chr10:85458470-92005591</t>
  </si>
  <si>
    <t>chr10:92876528-95396109</t>
  </si>
  <si>
    <t>chr10:100242738-107998488</t>
  </si>
  <si>
    <t>chr11:36091454-36397338</t>
  </si>
  <si>
    <t>chr11:36397339-36897877</t>
  </si>
  <si>
    <t>chr11:63157253-69545170</t>
  </si>
  <si>
    <t>chr11:70381300-76516253</t>
  </si>
  <si>
    <t>chr11:109864800-110703537</t>
  </si>
  <si>
    <t>chr11:127317610-128759526</t>
  </si>
  <si>
    <t>chr12:669954-1079588</t>
  </si>
  <si>
    <t>chr12:122482793-125318107</t>
  </si>
  <si>
    <t>chr13:44667957-45441012</t>
  </si>
  <si>
    <t>chr13:47817612-61266475</t>
  </si>
  <si>
    <t>chr13:99264865-100630234</t>
  </si>
  <si>
    <t>chr14:34811948-36944416</t>
  </si>
  <si>
    <t>chr14:98264711-98989021</t>
  </si>
  <si>
    <t>chr14:105095763-107349540</t>
  </si>
  <si>
    <t>chr15:30641318-32568050</t>
  </si>
  <si>
    <t>chr15:69959886-70342564</t>
  </si>
  <si>
    <t>chr15:81133059-87694252</t>
  </si>
  <si>
    <t>chr16:10994665-11612938</t>
  </si>
  <si>
    <t>chr17:72028045-74910437</t>
  </si>
  <si>
    <t>chr18:11874987-13422926</t>
  </si>
  <si>
    <t>chr18:48232596-55847091</t>
  </si>
  <si>
    <t>chr19:609759-1285288</t>
  </si>
  <si>
    <t>chr19:17783937-19065462</t>
  </si>
  <si>
    <t>chr20:45930662-48176258</t>
  </si>
  <si>
    <t>chr20:48176259-49595819</t>
  </si>
  <si>
    <t>chr22:1-17713187</t>
  </si>
  <si>
    <t>chr22:19717883-20948848</t>
  </si>
  <si>
    <t>chr22:21632372-22758253</t>
  </si>
  <si>
    <t>chr22:37004484-37559474</t>
  </si>
  <si>
    <t>rs62377655</t>
  </si>
  <si>
    <t>rs6067809</t>
  </si>
  <si>
    <t>rs28657875</t>
  </si>
  <si>
    <t>Yes</t>
  </si>
  <si>
    <t>Previously proposed</t>
  </si>
  <si>
    <t>Cytokine</t>
  </si>
  <si>
    <t>Number of DE psoriasis TWAS genes</t>
  </si>
  <si>
    <t>Observed/expected ratio</t>
  </si>
  <si>
    <t>TWAS genes</t>
  </si>
  <si>
    <t>IL17A</t>
  </si>
  <si>
    <t>IL17A+TNFa</t>
  </si>
  <si>
    <t>TNFa</t>
  </si>
  <si>
    <t>IFNa</t>
  </si>
  <si>
    <t>IFNg</t>
  </si>
  <si>
    <t>IL36A</t>
  </si>
  <si>
    <t>IL36B</t>
  </si>
  <si>
    <t>IL36G</t>
  </si>
  <si>
    <r>
      <t>Figure label</t>
    </r>
    <r>
      <rPr>
        <b/>
        <vertAlign val="superscript"/>
        <sz val="12"/>
        <color theme="1"/>
        <rFont val="Calibri (Body)"/>
      </rPr>
      <t>a</t>
    </r>
  </si>
  <si>
    <t>Region</t>
  </si>
  <si>
    <t>Signals</t>
  </si>
  <si>
    <t>Genes</t>
  </si>
  <si>
    <t>Type</t>
  </si>
  <si>
    <t>Number of signals</t>
  </si>
  <si>
    <r>
      <t>Other genome-wide significant reports</t>
    </r>
    <r>
      <rPr>
        <b/>
        <vertAlign val="superscript"/>
        <sz val="12"/>
        <color theme="1"/>
        <rFont val="Calibri (Body)"/>
      </rPr>
      <t>b</t>
    </r>
  </si>
  <si>
    <r>
      <t>Protein altering variants</t>
    </r>
    <r>
      <rPr>
        <b/>
        <vertAlign val="superscript"/>
        <sz val="12"/>
        <color theme="1"/>
        <rFont val="Calibri (Body)"/>
      </rPr>
      <t>c</t>
    </r>
  </si>
  <si>
    <r>
      <t>Regulatory variants</t>
    </r>
    <r>
      <rPr>
        <b/>
        <vertAlign val="superscript"/>
        <sz val="12"/>
        <color theme="1"/>
        <rFont val="Calibri (Body)"/>
      </rPr>
      <t>d</t>
    </r>
  </si>
  <si>
    <t>With protein-altering variants</t>
  </si>
  <si>
    <r>
      <t>TWAS candidates</t>
    </r>
    <r>
      <rPr>
        <b/>
        <vertAlign val="superscript"/>
        <sz val="12"/>
        <color theme="1"/>
        <rFont val="Calibri (Body)"/>
      </rPr>
      <t>e</t>
    </r>
  </si>
  <si>
    <r>
      <t>Previously proposed</t>
    </r>
    <r>
      <rPr>
        <b/>
        <vertAlign val="superscript"/>
        <sz val="12"/>
        <color theme="1"/>
        <rFont val="Calibri (Body)"/>
      </rPr>
      <t>f</t>
    </r>
  </si>
  <si>
    <r>
      <t>Closest protein-coding</t>
    </r>
    <r>
      <rPr>
        <b/>
        <vertAlign val="superscript"/>
        <sz val="12"/>
        <color theme="1"/>
        <rFont val="Calibri (Body)"/>
      </rPr>
      <t>g</t>
    </r>
  </si>
  <si>
    <r>
      <t>All protein-coding within 250kb</t>
    </r>
    <r>
      <rPr>
        <b/>
        <vertAlign val="superscript"/>
        <sz val="12"/>
        <color theme="1"/>
        <rFont val="Calibri (Body)"/>
      </rPr>
      <t>h</t>
    </r>
  </si>
  <si>
    <t>TNFRSF9, SLC45A1</t>
  </si>
  <si>
    <t>Signal 1: ERRFI1 (-175 KB); SLC45A1 (+117 KB)
Signal 2: ERRFI1 (-120 KB); SLC45A1 (+171 KB)</t>
  </si>
  <si>
    <t>Signal 1: 3 (PARK7, SLC45A1, ERRFI1)
Signal 2: 4 (PARK7, SLC45A1, TNFRSF9, ERRFI1)</t>
  </si>
  <si>
    <t>MTHFR, NPPA</t>
  </si>
  <si>
    <t>MFN2 (within)</t>
  </si>
  <si>
    <t>12 (CLCN6, VPS13D, KIAA2013, PLOD1, MIIP, MFN2, MTHFR, TNFRSF1B, NPPB, TNFRSF8, NPPA, C1orf167)</t>
  </si>
  <si>
    <t>FBLIM1 (-43 KB); UQCRHL (+6 KB)</t>
  </si>
  <si>
    <t>14 (PLEKHM2, DDI2, HSPB7, CLCNKA, SLC25A34, FBLIM1, AGMAT, ZBTB17, SRARP, RSC1A1, CLCNKB, TMEM82, UQCRHL, SPEN)</t>
  </si>
  <si>
    <t>IFNLR1 (PsA), IFNLR1</t>
  </si>
  <si>
    <t>Signal 1: IFNLR1 (-4 KB); GRHL3 (+128 KB)
Signal 2: IFNLR1 (within)</t>
  </si>
  <si>
    <t>Signal 1: 8 (STPG1, NIPAL3, MYOM3, IL22RA1, IFNLR1, PNRC2, SRSF10, GRHL3)
Signal 2: 8 (STPG1, NIPAL3, MYOM3, IL22RA1, IFNLR1, PNRC2, SRSF10, GRHL3)</t>
  </si>
  <si>
    <t>RUNX3 (PsA), RUNX3</t>
  </si>
  <si>
    <t>RUNX3 (-37 KB); SYF2 (+265 KB)</t>
  </si>
  <si>
    <t>2 (CLIC4, RUNX3)</t>
  </si>
  <si>
    <t>AZIN2 (within)</t>
  </si>
  <si>
    <t>9 (FNDC5, HPCA, AZIN2, A3GALT2, TMEM54, RNF19B, TRIM62, ZNF362, AK2)</t>
  </si>
  <si>
    <t>Chr1:67713346
Chr1:69788482</t>
  </si>
  <si>
    <t>1:67705958_G/A (IL23R, R126Q; R143Q; R381Q)</t>
  </si>
  <si>
    <t>C1orf141, IL23R (PsA), IL23R, LRRC7</t>
  </si>
  <si>
    <t>Signal 1: IL23R (within)
Signal 2: C1orf141 (-31 KB); IL23R (+1 KB)
Signal 3: IL23R (-102 KB); IL12RB2 (+39 KB)</t>
  </si>
  <si>
    <t>Signal 1: 5 (SLC35D1, SERBP1, IL12RB2, C1orf141, IL23R)
Signal 2: 6 (SLC35D1, MIER1, IL12RB2, DNAI4, C1orf141, IL23R)
Signal 3: 5 (SLC35D1, SERBP1, IL12RB2, C1orf141, IL23R)</t>
  </si>
  <si>
    <t>FUBP1 (-6 KB); DNAJB4 (+20 KB)</t>
  </si>
  <si>
    <t>6 (GIPC2, NEXN, DNAJB4, FUBP1, USP33, MIGA1)</t>
  </si>
  <si>
    <t>1:151803449_G/T (RORC, H53N)</t>
  </si>
  <si>
    <t>LCE3D-LCE3E, LCE3D, LCE3B, LCE3C, LCE3C/B, LCE3A, C1orf68, KPRP</t>
  </si>
  <si>
    <t>Signal 1: LCE3B (-4 KB); LCE3A (+5 KB)
Signal 2: RORC (within)</t>
  </si>
  <si>
    <t>Signal 1: 23 (LCE3A, LCE2A, C1orf68, LCE1E, LCE1D, LCE4A, CRNN, CRCT1, LCE3E, LCE3D, LCE3C, KPRP, LCE3B, LCE2D, LCE2B, LCE1F, LCE1C, LCE5A, LCE1B, LCE1A, LCE6A, LCE2C, LCE7A)
Signal 2: 13 (SNX27, LINGO4, THEM5, THEM4, S100A10, TDRKH, C2CD4D, RORC, CELF3, RIIAD1, MRPL9, OAZ3, S100A11)</t>
  </si>
  <si>
    <t>FCGR2A (-18 KB); HSPA6 (+1 KB)</t>
  </si>
  <si>
    <t>13 (HSPA6, SDHC, FCRLA, ATF6, FCGR2B, FCGR2A, FCGR3A, FCGR3B, FCRLB, CFAP126, MPZ, DUSP12, FCGR2C)</t>
  </si>
  <si>
    <t>TBX19 (-257 KB); XCL2 (+6 KB)</t>
  </si>
  <si>
    <t>3 (XCL2, XCL1, DPT)</t>
  </si>
  <si>
    <t>FASLG</t>
  </si>
  <si>
    <t>FASLG (-87 KB); TNFSF18 (+304 KB)</t>
  </si>
  <si>
    <t>2 (SUCO, FASLG)</t>
  </si>
  <si>
    <t>DENND1B (within)</t>
  </si>
  <si>
    <t>3 (DENND1B, LHX9, C1orf53)</t>
  </si>
  <si>
    <t>Signal 1: IKBKE (within)
Signal 2: IL10 (within)</t>
  </si>
  <si>
    <t>Signal 1: 5 (EIF2D, MAPKAPK2, DYRK3, IKBKE, RASSF5)
Signal 2: 10 (FCMR, EIF2D, IL19, IL10, MAPKAPK2, IL24, PIGR, FCAMR, IL20, DYRK3)</t>
  </si>
  <si>
    <t>ADCY3 (within)</t>
  </si>
  <si>
    <t>5 (EFR3B, CENPO, DNAJC27, ADCY3, PTRHD1)</t>
  </si>
  <si>
    <t>Chr2:61072183
Chr2:62560332</t>
  </si>
  <si>
    <t>REL, REL (PsA), LINC01885, B3GNT2</t>
  </si>
  <si>
    <t>Signal 1: PAPOLG (-91 KB); REL (+34 KB)
Signal 2: B3GNT2 (-137 KB); TMEM17 (+173 KB)</t>
  </si>
  <si>
    <t>Signal 1: 5 (PUS10, PAPOLG, SANBR, PEX13, REL)
Signal 2: 2 (TMEM17, B3GNT2)</t>
  </si>
  <si>
    <t>IL1RL1</t>
  </si>
  <si>
    <t>MAP4K4 (-286 KB); IL1R2 (+8 KB)</t>
  </si>
  <si>
    <t>3 (IL1RL2, IL1R2, IL1R1)</t>
  </si>
  <si>
    <t>2:111598958_C/T (ACOXL, T30M; T93M; T255M)</t>
  </si>
  <si>
    <t>ACOXL (within)</t>
  </si>
  <si>
    <t>3 (BCL2L11, BUB1, ACOXL)</t>
  </si>
  <si>
    <t>IFIH1 (PsA), IFIH1, KCNH7</t>
  </si>
  <si>
    <t>Signal 1: FAP (-11 KB); IFIH1 (+65 KB)
Signal 2: IFIH1 (within)</t>
  </si>
  <si>
    <t>Signal 1: 5 (GCG, DPP4, GCA, FAP, IFIH1)
Signal 2: 5 (GCG, DPP4, GCA, FAP, IFIH1)</t>
  </si>
  <si>
    <t>RFTN2 (within)</t>
  </si>
  <si>
    <t>10 (PLCL1, SF3B1, RFTN2, HSPE1, HSPE1-MOB4, MOB4, HSPD1, COQ10B, MARS2, BOLL)</t>
  </si>
  <si>
    <t>SP140 (within)</t>
  </si>
  <si>
    <t>5 (SP140, SP140L, SP110, SP100, SLC16A14)</t>
  </si>
  <si>
    <t>INPP5D (within)</t>
  </si>
  <si>
    <t>6 (INPP5D, NGEF, NEU2, ATG16L1, SAG, DGKD)</t>
  </si>
  <si>
    <t>SCLY (within)</t>
  </si>
  <si>
    <t>11 (ESPNL, KLHL30, ERFE, HES6, TRAF3IP1, UBE2F, RAMP1, UBE2F-SCLY, SCLY, ILKAP, PER2)</t>
  </si>
  <si>
    <t>PLCL2</t>
  </si>
  <si>
    <t>PLCL2 (within)</t>
  </si>
  <si>
    <t>1 (PLCL2)</t>
  </si>
  <si>
    <t>NFKBIZ</t>
  </si>
  <si>
    <t>NFKBIZ (-60 KB); ZPLD1 (+525 KB)</t>
  </si>
  <si>
    <t>5 (ZBTB11, NXPE3, CEP97, NFKBIZ, RPL24)</t>
  </si>
  <si>
    <t>TIPARP (-150 KB); LEKR1 (+2 KB)</t>
  </si>
  <si>
    <t>2 (LEKR1, TIPARP)</t>
  </si>
  <si>
    <t>LPP (within)</t>
  </si>
  <si>
    <t>1 (LPP)</t>
  </si>
  <si>
    <t>TPRG1 (-331 KB); TP63 (+129 KB)</t>
  </si>
  <si>
    <t>1 (TP63)</t>
  </si>
  <si>
    <t>TP63</t>
  </si>
  <si>
    <t>TP63 (-313 KB); P3H2 (+176 KB)</t>
  </si>
  <si>
    <t>1 (P3H2)</t>
  </si>
  <si>
    <t>FBXO45 (-54 KB); NRROS (+17 KB)</t>
  </si>
  <si>
    <t>10 (FBXO45, RNF168, WDR53, UBXN7, NRROS, PAK2, CEP19, PIGX, SENP5, SMCO1)</t>
  </si>
  <si>
    <t>Signal 1: IL2 (-132 KB); IL21 (+33 KB)
Signal 2: IL21 (-59 KB); BBS12 (+52 KB)</t>
  </si>
  <si>
    <t>Signal 1: 5 (FGF2, BBS12, ADAD1, IL2, IL21)
Signal 2: 6 (NUDT6, FGF2, SPATA5, BBS12, IL2, IL21)</t>
  </si>
  <si>
    <t>5:35874575_C/T (IL7R, T244I)</t>
  </si>
  <si>
    <t>SPEF2 (-229 KB); IL7R (+10 KB)</t>
  </si>
  <si>
    <t>5 (UGT3A2, SPEF2, UGT3A1, CAPSL, IL7R)</t>
  </si>
  <si>
    <t>CARD6</t>
  </si>
  <si>
    <t>DAB2 (-960 KB); PTGER4 (+295 KB)</t>
  </si>
  <si>
    <t>ANKRD55 (-529 KB); MAP3K1 (+53 KB)</t>
  </si>
  <si>
    <t>3 (SETD9, MIER3, MAP3K1)</t>
  </si>
  <si>
    <t>5:96118852_G/C (ERAP1, Q730E)
5:96231000_G/T (ERAP2, K99N; K347N; K392N)</t>
  </si>
  <si>
    <t>ERAP1, ERAP2</t>
  </si>
  <si>
    <t>ERAP1, LNPEP</t>
  </si>
  <si>
    <t>Signal 1: ERAP1 (within)
Signal 2: ERAP2 (within)</t>
  </si>
  <si>
    <t>Signal 1: 4 (ERAP2, LNPEP, ERAP1, CAST)
Signal 2: 5 (ERAP2, LNPEP, ERAP1, CAST, LIX1)</t>
  </si>
  <si>
    <t>5:131995964_A/G (IL13, Q144R)</t>
  </si>
  <si>
    <t>CSF2 (PsA), P4HA2 (PsA), IL13, IL4</t>
  </si>
  <si>
    <t>Signal 1: IL13 (within)
Signal 2: CHSY3 (-924 KB); HINT1 (+337 KB)</t>
  </si>
  <si>
    <t>Signal 1: 13 (RAD50, SEPTIN8, IL4, SHROOM1, KIF3A, IRF1, GDF9, SOWAHA, CCNI2, IL5, UQCRQ, LEAP2, IL13)
Signal 2: None</t>
  </si>
  <si>
    <t>TNIP1, TNIP1 (PsA), ANXA6, ANXA6 (PsA)</t>
  </si>
  <si>
    <t>TNIP1 (-6 KB); ANXA6 (+71 KB)</t>
  </si>
  <si>
    <t>8 (TNIP1, CCDC69, GM2A, SLC36A3, ANXA6, ZNF300, IRGM, GPX3)</t>
  </si>
  <si>
    <t>RNF145 (IL12B), IL12B (PsA), IL12B, ADRA1B (PsA)</t>
  </si>
  <si>
    <t>Signal 1: IL12B (-69 KB); ADRA1B (+517 KB)
Signal 2: IL12B (-9 KB); ADRA1B (+577 KB)
Signal 3: RNF145 (within)
Signal 4: IL12B (-100 KB); ADRA1B (+486 KB)
Signal 5: IL12B (-66 KB); ADRA1B (+519 KB)
Signal 6: RNF145 (within)
Signal 7: IL12B (-78 KB); ADRA1B (+508 KB)</t>
  </si>
  <si>
    <t>Signal 1: 3 (UBLCP1, RNF145, IL12B)
Signal 2: 4 (EBF1, UBLCP1, RNF145, IL12B)
Signal 3: 4 (EBF1, UBLCP1, RNF145, IL12B)
Signal 4: 3 (UBLCP1, RNF145, IL12B)
Signal 5: 3 (UBLCP1, RNF145, IL12B)
Signal 6: 4 (EBF1, UBLCP1, RNF145, IL12B)
Signal 7: 3 (UBLCP1, RNF145, IL12B)</t>
  </si>
  <si>
    <t>EXOC2, IRF4</t>
  </si>
  <si>
    <t>Signal 1: EXOC2 (within)
Signal 2: EXOC2 (within)</t>
  </si>
  <si>
    <t>Signal 1: 3 (EXOC2, HUS1B, IRF4)
Signal 2: 4 (EXOC2, HUS1B, DUSP22, IRF4)</t>
  </si>
  <si>
    <t>CDKAL1</t>
  </si>
  <si>
    <t>CDKAL1 (within)</t>
  </si>
  <si>
    <t>1 (CDKAL1)</t>
  </si>
  <si>
    <t>CCHCR1, MHC, HLA-C, HLA-C (PsA), HLA (PsA), HLA, HLA-B, MHC (PsA), HLA-B (PsA), TNF, HLA-DRB1 (PsA)</t>
  </si>
  <si>
    <t>HLA-C (-12 KB); HLA-B (+73 KB)</t>
  </si>
  <si>
    <t>13 (C6orf15, PSORS1C1, CDSN, PSORS1C2, TCF19, MICB, MICA, HLA-C, POU5F1, CCHCR1, HLA-B, HCG22, MCCD1)</t>
  </si>
  <si>
    <t>6:111913262_C/T (TRAF3IP2, D10N; D19N)</t>
  </si>
  <si>
    <t>6:111913262_C/T
6:111932873_C/T</t>
  </si>
  <si>
    <t>TRAF3IP2, TRAF3IP2 (PsA)</t>
  </si>
  <si>
    <t>Signal 1: TRAF3IP2 (within)
Signal 2: TRAF3IP2 (-16 KB); FYN (+252 KB)
Signal 3: TRAF3IP2 (-6 KB); FYN (+262 KB)</t>
  </si>
  <si>
    <t>Signal 1: 2 (REV3L, TRAF3IP2)
Signal 2: 2 (REV3L, TRAF3IP2)
Signal 3: 2 (REV3L, TRAF3IP2)</t>
  </si>
  <si>
    <t>TNFAIP3</t>
  </si>
  <si>
    <t>Signal 1: TNFAIP3 (within)
Signal 2: OLIG3 (-143 KB); TNFAIP3 (+230 KB)</t>
  </si>
  <si>
    <t>Signal 1: 2 (PERP, TNFAIP3)
Signal 2: 2 (OLIG3, TNFAIP3)</t>
  </si>
  <si>
    <t>TAGAP</t>
  </si>
  <si>
    <t>TAGAP (-41 KB); FNDC1 (+84 KB)</t>
  </si>
  <si>
    <t>3 (RSPH3, FNDC1, TAGAP)</t>
  </si>
  <si>
    <t>AGR3 (-244 KB); AHR (+173 KB)</t>
  </si>
  <si>
    <t>2 (AHR, AGR3)</t>
  </si>
  <si>
    <t>7:29132279_A/G (CPVL, Y52H; Y98H; Y168H)</t>
  </si>
  <si>
    <t>CPVL (within)</t>
  </si>
  <si>
    <t>3 (CPVL, CHN2, TRIL)</t>
  </si>
  <si>
    <t>ELMO1</t>
  </si>
  <si>
    <t>ELMO1 (within)</t>
  </si>
  <si>
    <t>1 (ELMO1)</t>
  </si>
  <si>
    <t>KCP (-16 KB); IRF5 (+11 KB)</t>
  </si>
  <si>
    <t>11 (CCDC136, ATP6V1F, ATP6V1FNB, OPN1SW, TNPO3, IRF5, FLNC, GARIN1B, KCP, CALU, TSPAN33)</t>
  </si>
  <si>
    <t>Signal 1: CHD7 (-251 KB); CLVS1 (+359 KB)
Signal 2: CHD7 (-261 KB); CLVS1 (+349 KB)</t>
  </si>
  <si>
    <t>Signal 1: None
Signal 2: None</t>
  </si>
  <si>
    <t>TPD52 (-215 KB); ZBTB10 (+100 KB)</t>
  </si>
  <si>
    <t>2 (TPD52, ZBTB10)</t>
  </si>
  <si>
    <t>NSMCE2 (-335 KB); TRIB1 (+3 KB)</t>
  </si>
  <si>
    <t>1 (TRIB1)</t>
  </si>
  <si>
    <t>TMEM75 (-601 KB); GSDMC (+1238 KB)</t>
  </si>
  <si>
    <t>9:32480251_A/T (DDX58, D377E; D509E; D535E; D580E)</t>
  </si>
  <si>
    <t>Signal 1: DDX58 (within)
Signal 2: ACO1 (within)</t>
  </si>
  <si>
    <t>Signal 1: 7 (ACO1, DDX58, TOPORS, NDUFB6, TAF1L, SMIM27, GVQW1)
Signal 2: 7 (ACO1, DDX58, TOPORS, NDUFB6, TAF1L, SMIM27, GVQW1)</t>
  </si>
  <si>
    <t>KLF4</t>
  </si>
  <si>
    <t>Signal 1: KLF4 (-521 KB); ACTL7B (+846 KB)
Signal 2: KLF4 (-608 KB); ACTL7B (+758 KB)
Signal 3: KLF4 (-483 KB); ACTL7B (+883 KB)</t>
  </si>
  <si>
    <t>Signal 1: None
Signal 2: None
Signal 3: None</t>
  </si>
  <si>
    <t>TNFSF15 (-2 KB); TNFSF8 (+123 KB)</t>
  </si>
  <si>
    <t>6 (TNFSF15, TNFSF8, TMEM268, TEX53, TEX48, ATP6V1G1)</t>
  </si>
  <si>
    <t>IL2RA (within)</t>
  </si>
  <si>
    <t>7 (GDI2, ANKRD16, FBH1, IL15RA, IL2RA, RBM17, PFKFB3)</t>
  </si>
  <si>
    <t>PRKCQ (within)</t>
  </si>
  <si>
    <t>1 (PRKCQ)</t>
  </si>
  <si>
    <t>ZNF365</t>
  </si>
  <si>
    <t>ZNF365 (-236 KB); ADO (+194 KB)</t>
  </si>
  <si>
    <t>3 (ZNF365, ADO, EGR2)</t>
  </si>
  <si>
    <t>CAMK2G</t>
  </si>
  <si>
    <t>CAMK2G (within)</t>
  </si>
  <si>
    <t>11 (PLAU, VCL, SEC24C, FUT11, NDST2, AGAP5, CAMK2G, MYOZ1, SYNPO2L, CHCHD1, ZSWIM8)</t>
  </si>
  <si>
    <t>ZMIZ1</t>
  </si>
  <si>
    <t>ZMIZ1 (within)</t>
  </si>
  <si>
    <t>4 (ZCCHC24, ZMIZ1, PPIF, EIF5AL1)</t>
  </si>
  <si>
    <t>PTEN, KLLN, SNORD74</t>
  </si>
  <si>
    <t>PTEN (within)</t>
  </si>
  <si>
    <t>4 (PAPSS2, ATAD1, KLLN, PTEN)</t>
  </si>
  <si>
    <t>KIF11 (-77 KB); HHEX (+20 KB)</t>
  </si>
  <si>
    <t>4 (IDE, HHEX, EXOC6, KIF11)</t>
  </si>
  <si>
    <t>CHUK</t>
  </si>
  <si>
    <t>CPN1 (-63 KB); ERLIN1 (+41 KB)</t>
  </si>
  <si>
    <t>8 (CPN1, BLOC1S2, PKD2L1, CWF19L1, CHUK, SCD, DNMBP, ERLIN1)</t>
  </si>
  <si>
    <t>PRR5L (within)</t>
  </si>
  <si>
    <t>4 (TRAF6, PRR5L, COMMD9, RAG1)</t>
  </si>
  <si>
    <t>6 (TRAF6, PRR5L, COMMD9, IFTAP, RAG1, RAG2)</t>
  </si>
  <si>
    <t>Chr11:65593444
Chr11:64053157</t>
  </si>
  <si>
    <t>RPS6KA4, PRDX5, AP5B1, CFL1, FIBP, FOSL1</t>
  </si>
  <si>
    <t>Signal 1: CCDC88B (within)
Signal 2: OVOL1 (-41 KB); SNX32 (+6 KB)</t>
  </si>
  <si>
    <t>Signal 1: 20 (PPP1R14B, CATSPERZ, PRDX5, CCDC88B, RPS6KA4, FKBP2, PLCB3, TRPT1, VEGFB, TRMT112, DNAJC4, KCNK4, GPR137, SLC22A11, MACROD1, STIP1, NUDT22, BAD, ESRRA, FERMT3)
Signal 2: 28 (EFEMP2, FIBP, DRAP1, EIF1AD, BANF1, CST6, SF3B2, PACS1, KAT5, RNASEH2C, AP5B1, OVOL1, CFL1, SNX32, CTSW, MAP3K11, SIPA1, CCDC85B, FOSL1, C11orf68, SART1, CATSPER1, GAL3ST3, MUS81, KCNK7, PCNX3, RELA, TSGA10IP)</t>
  </si>
  <si>
    <t>EMSY (-126 KB); LRRC32 (+100 KB)</t>
  </si>
  <si>
    <t>5 (LRRC32, TSKU, GVQW3, EMSY, THAP12)</t>
  </si>
  <si>
    <t>ZC3H12C (within)</t>
  </si>
  <si>
    <t>2 (ZC3H12C, RDX)</t>
  </si>
  <si>
    <t>11:120175749_A/G (POU2F3, H152R; H154R)</t>
  </si>
  <si>
    <t>POU2F3 (within)</t>
  </si>
  <si>
    <t>6 (ARHGEF12, OAF, POU2F3, TLCD5, GRIK4, TRIM29)</t>
  </si>
  <si>
    <t>ETS1</t>
  </si>
  <si>
    <t>Signal 1: ETS1 (within)
Signal 2: KIRREL3 (-1324 KB); ETS1 (+263 KB)
Signal 3: KIRREL3 (-1302 KB); ETS1 (+285 KB)</t>
  </si>
  <si>
    <t>Signal 1: 2 (FLI1, ETS1)
Signal 2: None
Signal 3: None</t>
  </si>
  <si>
    <t>WNK1 (within)</t>
  </si>
  <si>
    <t>4 (RAD52, WNK1, NINJ2, ERC1)</t>
  </si>
  <si>
    <t>SCNN1A (within)</t>
  </si>
  <si>
    <t>15 (VWF, LTBR, TAPBPL, CD9, MRPL51, NCAPD2, CHD4, IFFO1, VAMP1, CD27, TNFRSF1A, SCNN1A, GAPDH, NOP2, PLEKHG6)</t>
  </si>
  <si>
    <t>12:10560957_T/C (KLRC4, N104S)
12:10562089_A/C (KLRC4, I29S)</t>
  </si>
  <si>
    <t>KLRK1, KLRC4</t>
  </si>
  <si>
    <t>KLRC3 (-7 KB); KLRC2 (+8 KB)</t>
  </si>
  <si>
    <t>12 (GABARAPL1, KLRD1, MAGOHB, STYK1, KLRC3, KLRC1, KLRC2, KLRC4, KLRC4-KLRK1, KLRK1, TMEM52B, EIF2S3B)</t>
  </si>
  <si>
    <t>12:56660905_G/T (COQ10A, -)
12:56740682_C/G (STAT2, M590I; M594I)</t>
  </si>
  <si>
    <t>COQ10A, STAT2</t>
  </si>
  <si>
    <t>Signal 1: CS (within)
Signal 2: SUOX (-10 KB); IKZF4 (+14 KB)
Signal 3: RNF41 (within)</t>
  </si>
  <si>
    <t>Signal 1: 24 (RBMS2, SPRYD4, RPL41, ZC3H10, MYL6, SMARCC2, NABP2, CS, CNPY2, IL23A, ERBB3, STAT2, GLS2, MIP, PA2G4, ESYT1, RNF41, SLC39A5, ANKRD52, COQ10A, APOF, PAN2, MYL6B, TIMELESS)
Signal 2: 23 (SUOX, IKZF4, RPS26, RPL41, ZC3H10, MYL6, SMARCC2, NABP2, PYM1, PMEL, ERBB3, SARNP, ORMDL2, MMP19, DGKA, RAB5B, PA2G4, ESYT1, RNF41, SLC39A5, DNAJC14, CDK2, MYL6B)
Signal 3: 27 (SUOX, IKZF4, RPS26, RPL41, ZC3H10, MYL6, SMARCC2, NABP2, CS, CNPY2, IL23A, PMEL, ERBB3, STAT2, MIP, RAB5B, PA2G4, ESYT1, RNF41, SLC39A5, ANKRD52, COQ10A, APOF, CDK2, PAN2, MYL6B, TIMELESS)</t>
  </si>
  <si>
    <t>PLXNC1 (within)</t>
  </si>
  <si>
    <t>1 (PLXNC1)</t>
  </si>
  <si>
    <t>12:111884608_T/C (SH2B3, W60R; W262R)</t>
  </si>
  <si>
    <t>BRAP, MAPKAPK5</t>
  </si>
  <si>
    <t>SH2B3 (within)</t>
  </si>
  <si>
    <t>5 (BRAP, PHETA1, SH2B3, ACAD10, ATXN2)</t>
  </si>
  <si>
    <t>IL31</t>
  </si>
  <si>
    <t>IL31 (-3 KB); LRRC43 (+6 KB)</t>
  </si>
  <si>
    <t>8 (MLXIP, LRRC43, B3GNT4, VPS33A, BCL7A, IL31, DIABLO, CLIP1)</t>
  </si>
  <si>
    <t>TSC22D1 (-172 KB); NUFIP1 (+241 KB)</t>
  </si>
  <si>
    <t>3 (GPALPP1, TSC22D1, NUFIP1)</t>
  </si>
  <si>
    <t>KCNRG (-222 KB); DLEU7 (+607 KB)</t>
  </si>
  <si>
    <t>2 (TRIM13, KCNRG)</t>
  </si>
  <si>
    <t>UBAC2, RN7SKP9</t>
  </si>
  <si>
    <t>UBAC2, GPR183 (within)</t>
  </si>
  <si>
    <t>4 (UBAC2, TM9SF2, GPR183, GPR18)</t>
  </si>
  <si>
    <t>NFKBIA, PSMA6, NFKBIA (PsA)</t>
  </si>
  <si>
    <t>Signal 1: PSMA6 (-71 KB); NFKBIA (+41 KB)
Signal 2: PSMA6 (-86 KB); NFKBIA (+26 KB)</t>
  </si>
  <si>
    <t>Signal 1: 5 (PPP2R3C, PRORP, INSM2, PSMA6, NFKBIA)
Signal 2: 3 (INSM2, PSMA6, NFKBIA)</t>
  </si>
  <si>
    <t>RP11-61O1.1</t>
  </si>
  <si>
    <t>VRK1 (-1396 KB); BCL11B (+1079 KB)</t>
  </si>
  <si>
    <t>GPR132 (-1 KB); JAG2 (+102 KB)</t>
  </si>
  <si>
    <t>11 (CDCA4, CLBA1, AHNAK2, PLD4, NUDT14, BTBD6, GPR132, CEP170B, BRF1, JAG2, PACS2)</t>
  </si>
  <si>
    <t>KLF13</t>
  </si>
  <si>
    <t>KLF13 (within)</t>
  </si>
  <si>
    <t>2 (TRPM1, KLF13)</t>
  </si>
  <si>
    <t>RPLP1 (-289 KB); TLE3 (+357 KB)</t>
  </si>
  <si>
    <t>PDE8A (within)</t>
  </si>
  <si>
    <t>2 (PDE8A, SLC28A1)</t>
  </si>
  <si>
    <t>PRM3, SOCS1</t>
  </si>
  <si>
    <t>Signal 1: CLEC16A (-306 KB); SOCS1 (+5 KB)
Signal 2: CLEC16A (within)</t>
  </si>
  <si>
    <t>Signal 1: 6 (RMI2, SOCS1, TNP2, PRM3, PRM2, PRM1)
Signal 2: 5 (NUBP1, TVP23A, DEXI, CIITA, CLEC16A)</t>
  </si>
  <si>
    <t>16:30996872_G/C (AC135048.1, A221G)
16:30999142_A/G (HSD3B7, T250A)
16:31090407_G/C (ZNF646, G921A)
16:31092075_G/A (ZNF646, G1477D)
16:31096164_G/C (PRSS53, P406A)</t>
  </si>
  <si>
    <t>AC135048.1, HSD3B7, ZNF646, PRSS53</t>
  </si>
  <si>
    <t>PRSS53, FBXL19, FBXL19 (PsA), HSD3B7</t>
  </si>
  <si>
    <t>Signal 1: HSD3B7 (within)
Signal 2: XPO6 (-49 KB); SBK1 (+31 KB)</t>
  </si>
  <si>
    <t>Signal 1: 25 (ZNF629, HSD3B7, STX1B, STX4, ZNF668, ZNF646, VKORC1, BCKDK, KAT8, PRSS36, PYCARD, TRIM72, FUS, PYDC1, BCL7C, RNF40, PRSS53, TMEM265, PHKG2, CFAP119, ORAI3, PRSS8, CTF1, FBXL19, SETD1A)
Signal 2: 9 (SBK1, IL27, XPO6, CLN3, APOBR, NPIPB6, NPIPB7, GSG1L, EIF3CL)</t>
  </si>
  <si>
    <t>17:4574751_T/A (PELP1, T902S; T1036S; T1126S; T1176S; T1270S)</t>
  </si>
  <si>
    <t>PELP1 (-3 KB); ARRB2 (+3 KB)</t>
  </si>
  <si>
    <t>24 (SPNS2, GGT6, SMTNL2, ALOX15, ARRB2, MED11, ZMYND15, VMO1, C17orf114, PLD2, CHRNE, C17orf107, GP1BA, SLC25A11, RNF167, PFN1, ENO3, CXCL16, MYBBP1A, PELP1, TM4SF5, GLTPD2, PSMB6, MINK1)</t>
  </si>
  <si>
    <t>NOS2, NOS2 (PsA)</t>
  </si>
  <si>
    <t>Signal 1: NOS2 (within)
Signal 2: NOS2 (-0 KB); LYRM9 (+93 KB)
Signal 3: NOS2 (-53 KB); LYRM9 (+40 KB)</t>
  </si>
  <si>
    <t>Signal 1: 4 (LGALS9, LYRM9, NOS2, NLK)
Signal 2: 4 (LGALS9, LYRM9, NOS2, NLK)
Signal 3: 4 (LGALS9, LYRM9, NOS2, NLK)</t>
  </si>
  <si>
    <t>17:40257055_T/C (DHX58, N461S)
17:43507008_G/C (ARHGAP27, P213R)
17:43922942_T/C (SPPL2C, S224P)
17:43923266_G/A (SPPL2C, A332T)
17:43923683_A/G (SPPL2C, I471V)
17:43924130_G/A (SPPL2C, G620R)
17:44055647_A/T (MAPT, K3*)
17:44060775_C/T (MAPT, P202L)
17:44061023_G/A (MAPT, D285N)
17:44061036_T/C (MAPT, V289A)
17:44067400_T/C (MAPT, S447P)
17:44076665_A/G (STH, Q7R)
17:44108906_A/G (KANSL1, I379T; I1021T; I1085T)
17:44117119_A/G (KANSL1, S75P; S718P)</t>
  </si>
  <si>
    <t>DHX58, ARHGAP27, SPPL2C, MAPT, STH, KANSL1</t>
  </si>
  <si>
    <t>IKZF3, PTRF, STAT3, STAT5A/B</t>
  </si>
  <si>
    <t>Signal 1: STAT3 (-1 KB); CAVIN1 (+34 KB)
Signal 2: RAB5C (within)
Signal 3: MAP3K14 (within)</t>
  </si>
  <si>
    <t>Signal 1: 16 (RAB5C, NAGLU, HSD17B1, RETREG3, CAVIN1, STAT3, KCNH4, TUBG1, STAT5B, ATP6V0A1, COASY, PSMC3IP, HCRT, GHDC, MLX, STAT5A)
Signal 2: 17 (RAB5C, STAT3, KCNH4, CNP, DHX58, KAT2A, ZNF385C, STAT5B, HCRT, GHDC, STAT5A, ACLY, ODAD4, DNAJC7, NKIRAS2, C17orf113, HSPB9)
Signal 3: 11 (PLCD3, ACBD4, NMT1, SPATA32, DCAKD, PLEKHM1, ARHGAP27, HEXIM1, MAP3K14, HEXIM2, FMNL1)</t>
  </si>
  <si>
    <t>TRIM47, TRIM65</t>
  </si>
  <si>
    <t>UNK (-42 KB); UNC13D (+18 KB)</t>
  </si>
  <si>
    <t>22 (SAP30BP, ITGB4, TRIM47, TRIM65, MRPL38, TEN1, EVPL, SRP68, GALK1, FBF1, CDK3, UNC13D, MYO15B, ACOX1, RECQL5, SMIM6, H3-3B, UNK, WBP2, TEN1-CDK3, GALR2, SMIM5)</t>
  </si>
  <si>
    <t>17:78178893_C/T (CARD14, R820W)</t>
  </si>
  <si>
    <t>CARD14 (within)</t>
  </si>
  <si>
    <t>9 (ENDOV, CCDC40, GAA, SGSH, TBC1D16, CARD14, RNF213, EIF4A3, SLC26A11)</t>
  </si>
  <si>
    <t>PTPN2</t>
  </si>
  <si>
    <t>PTPN2 (within)</t>
  </si>
  <si>
    <t>6 (SPIRE1, CEP76, PSMG2, SEH1L, CEP192, PTPN2)</t>
  </si>
  <si>
    <t>POLI, STARD6, MBD2</t>
  </si>
  <si>
    <t>POLI (within)</t>
  </si>
  <si>
    <t>4 (MBD2, POLI, C18orf54, STARD6)</t>
  </si>
  <si>
    <t>ARID3A (within)</t>
  </si>
  <si>
    <t>22 (MISP, ABCA7, GRIN3B, CNN2, POLR2E, TMEM259, WDR18, PRSS57, ARHGAP45, GPX4, MED16, AZU1, R3HDM4, CFD, ARID3A, SBNO2, PALM, PTBP1, PRTN3, PLPPR3, KISS1R, ELANE)</t>
  </si>
  <si>
    <t>19:4311977_C/T (FSD1, P210L)
19:4328755_G/C (STAP2, Y6*; Y169*)</t>
  </si>
  <si>
    <t>FSD1, STAP2</t>
  </si>
  <si>
    <t>STAP2 (within)</t>
  </si>
  <si>
    <t>19 (YJU2, STAP2, MPND, SH3GL1, CHAF1A, UBXN6, HDGFL2, PLIN5, LRG1, MAP2K2, SIRT6, ANKRD24, SEMA6B, CREB3L3, EBI3, PLIN4, SHD, TMIGD2, FSD1)</t>
  </si>
  <si>
    <t>Chr19:10463118
Chr19:10886206</t>
  </si>
  <si>
    <t>19:10463118_G/C (TYK2, P18A; P127A; P919A; P1104A)
19:10469975_A/C (TYK2, I499S; I684S)
19:10577843_C/A (PDE4A, A497E; A675E; A710E; A714E; A736E)
19:10742170_A/G (SLC44A2, Q99R; Q101R; Q152R; Q154R)
19:11034039_T/A (YIPF2, H150L)</t>
  </si>
  <si>
    <t>19:10463118_G/C
19:10469975_A/C</t>
  </si>
  <si>
    <t>TYK2, PDE4A, SLC44A2, YIPF2</t>
  </si>
  <si>
    <t>TYK2, TYK2 (PsA), ILF3, CARM1</t>
  </si>
  <si>
    <t>Signal 1: TYK2 (within)
Signal 2: TYK2 (within)
Signal 3: PDE4A (-54 KB); KEAP1 (+29 KB)</t>
  </si>
  <si>
    <t>Signal 1: 24 (PDE4A, P2RY11, EIF3G, MRPL4, ICAM5, RAVER1, ICAM3, KEAP1, ATG4D, KRI1, CDKN2D, AP1M2, S1PR5, TYK2, FDX2, ANGPTL6, CDC37, PPAN-P2RY11, PPAN, S1PR2, ICAM1, ICAM4, ZGLP1, DNMT1)
Signal 2: 21 (PDE4A, P2RY11, EIF3G, MRPL4, ICAM5, RAVER1, ICAM3, KEAP1, ATG4D, KRI1, CDKN2D, AP1M2, S1PR5, TYK2, FDX2, CDC37, S1PR2, ICAM1, ICAM4, ZGLP1, DNMT1)
Signal 3: 22 (PDE4A, MRPL4, ICAM5, RAVER1, ICAM3, KEAP1, ATG4D, KRI1, CDKN2D, AP1M2, SLC44A2, QTRT1, S1PR5, ILF3, TYK2, FDX2, CDC37, S1PR2, ICAM1, ICAM4, ZGLP1, DNM2)</t>
  </si>
  <si>
    <t>ELL (within)</t>
  </si>
  <si>
    <t>18 (LSM4, PGPEP1, LRRC25, SSBP4, KXD1, UBA52, REX1BD, IQCN, GDF15, ELL, PDE4C, CRTC1, KLHL26, JUND, ISYNA1, FKBP8, CRLF1, TMEM59L)</t>
  </si>
  <si>
    <t>19:33878837_G/A (PEPD, L371F; L394F; L435F)</t>
  </si>
  <si>
    <t>CEBPG (-10 KB); PEPD (+138 KB)</t>
  </si>
  <si>
    <t>6 (CHST8, LRP3, CEBPG, PEPD, SLC7A10, CEBPA)</t>
  </si>
  <si>
    <t>19:49206674_G/A (FUT2, W154*)
19:49206985_G/A (FUT2, G258S)</t>
  </si>
  <si>
    <t>FUT2 (within)</t>
  </si>
  <si>
    <t>24 (IZUMO1, HSD17B14, PLEKHA4, NUCB1, SPACA4, RPL18, CA11, FUT2, MAMSTR, NTN5, RASIP1, FAM83E, CYTH2, FGF21, BCAT2, TULP2, DHDH, KCNJ14, SULT2B1, SPHK2, DBP, FUT1, LMTK3, PPP1R15A)</t>
  </si>
  <si>
    <t>PREX1 (within)</t>
  </si>
  <si>
    <t>2 (PREX1, ARFGEF2)</t>
  </si>
  <si>
    <t>RNF114, SNAI1</t>
  </si>
  <si>
    <t>Signal 1: RNF114 (within)
Signal 2: SNAI1 (-34 KB); UBE2V1 (+96 KB)</t>
  </si>
  <si>
    <t>Signal 1: 9 (SPATA2, RNF114, PEDS1, UBE2V1, SNAI1, B4GALT5, SLC9A8, PEDS1-UBE2V1, CEBPB)
Signal 2: 8 (SPATA2, RNF114, PEDS1, UBE2V1, SNAI1, SLC9A8, PEDS1-UBE2V1, CEBPB)</t>
  </si>
  <si>
    <t>NFATC2 (within)</t>
  </si>
  <si>
    <t>2 (ATP9A, NFATC2)</t>
  </si>
  <si>
    <t>ETS2 (-105 KB); PSMG1 (+273 KB)</t>
  </si>
  <si>
    <t>1 (ETS2)</t>
  </si>
  <si>
    <t>IL17RA (within)</t>
  </si>
  <si>
    <t>5 (GAB4, TMEM121B, IL17RA, HDHD5, ADA2)</t>
  </si>
  <si>
    <t>MED15 (within)</t>
  </si>
  <si>
    <t>4 (MED15, ZNF74, KLHL22, SCARF2)</t>
  </si>
  <si>
    <t>YDJC, UBE2L3</t>
  </si>
  <si>
    <t>UBE2L3 (within)</t>
  </si>
  <si>
    <t>11 (MAPK1, YDJC, CCDC116, PPIL2, UBE2L3, SDF2L1, YPEL1, TMEM191C, RIMBP3C, HIC2, RIMBP3B)</t>
  </si>
  <si>
    <t>PVALB (-42 KB); NCF4 (+2 KB)</t>
  </si>
  <si>
    <t>9 (NCF4, PVALB, IFT27, KCTD17, TST, CACNG2, TEX33, MPST, CSF2RB)</t>
  </si>
  <si>
    <r>
      <rPr>
        <vertAlign val="superscript"/>
        <sz val="12"/>
        <color theme="1"/>
        <rFont val="Calibri (Body)"/>
      </rPr>
      <t>f</t>
    </r>
    <r>
      <rPr>
        <sz val="12"/>
        <color theme="1"/>
        <rFont val="Calibri"/>
        <family val="2"/>
        <scheme val="minor"/>
      </rPr>
      <t xml:space="preserve"> Previously proposed genes as summarised in Stuart, P. E., Tsoi, L. C., Hambro, C. A. &amp; Elder, J. T. Genetics of psoriasis. In Oxford Textbook of Psoriatic Arthritis (eds FitzGerald, O. &amp; Gladman, D.) (Oxford University Press, 2018)</t>
    </r>
  </si>
  <si>
    <r>
      <rPr>
        <vertAlign val="superscript"/>
        <sz val="12"/>
        <color theme="1"/>
        <rFont val="Calibri (Body)"/>
      </rPr>
      <t>g</t>
    </r>
    <r>
      <rPr>
        <sz val="12"/>
        <color theme="1"/>
        <rFont val="Calibri"/>
        <family val="2"/>
        <scheme val="minor"/>
      </rPr>
      <t xml:space="preserve"> Signals not falling within a gene body (between transcript start and end) are reported as distance from transcription start site of up- and down-stream genes</t>
    </r>
  </si>
  <si>
    <r>
      <rPr>
        <vertAlign val="superscript"/>
        <sz val="12"/>
        <color theme="1"/>
        <rFont val="Calibri (Body)"/>
      </rPr>
      <t>h</t>
    </r>
    <r>
      <rPr>
        <sz val="12"/>
        <color theme="1"/>
        <rFont val="Calibri"/>
        <family val="2"/>
        <scheme val="minor"/>
      </rPr>
      <t xml:space="preserve"> Distance measured from association signal lead variant to transcription start site</t>
    </r>
  </si>
  <si>
    <r>
      <rPr>
        <vertAlign val="superscript"/>
        <sz val="12"/>
        <color theme="1"/>
        <rFont val="Calibri (Body)"/>
      </rPr>
      <t>a</t>
    </r>
    <r>
      <rPr>
        <sz val="12"/>
        <color theme="1"/>
        <rFont val="Calibri"/>
        <family val="2"/>
        <scheme val="minor"/>
      </rPr>
      <t xml:space="preserve"> Dataset types: B, Biobank; D, Dermatologist- (or other secondary care specialist-) ascertained</t>
    </r>
  </si>
  <si>
    <t>Encrichment for likely regulatory variants by credible set size</t>
  </si>
  <si>
    <t>Candidate variants with highly probable regulatory function</t>
  </si>
  <si>
    <t>Enrichment between psoriasis TWAS genes and stimulated keratinocyte transcriptomes</t>
  </si>
  <si>
    <t>Partial genetic causality between psoriasis and other traits</t>
  </si>
  <si>
    <t>Summary of psoriasis-associated regions, independent signals and implicated genes</t>
  </si>
  <si>
    <t>rs11209026</t>
  </si>
  <si>
    <t>rs80223568</t>
  </si>
  <si>
    <t>rs1554005</t>
  </si>
  <si>
    <t>rs6897932</t>
  </si>
  <si>
    <t>rs27044</t>
  </si>
  <si>
    <t>rs2549782</t>
  </si>
  <si>
    <t>rs20541</t>
  </si>
  <si>
    <t>rs17217280</t>
  </si>
  <si>
    <t>rs2617170</t>
  </si>
  <si>
    <t>rs1841958</t>
  </si>
  <si>
    <t>rs60542959</t>
  </si>
  <si>
    <t>rs2066807</t>
  </si>
  <si>
    <t>rs12443627</t>
  </si>
  <si>
    <t>rs35713203</t>
  </si>
  <si>
    <t>rs7196726</t>
  </si>
  <si>
    <t>rs7199949</t>
  </si>
  <si>
    <t>rs9436</t>
  </si>
  <si>
    <t>rs34016093</t>
  </si>
  <si>
    <t>rs2959953</t>
  </si>
  <si>
    <t>rs62621252</t>
  </si>
  <si>
    <t>rs62054815</t>
  </si>
  <si>
    <t>rs12185268</t>
  </si>
  <si>
    <t>rs12373139</t>
  </si>
  <si>
    <t>rs754512</t>
  </si>
  <si>
    <t>rs63750417</t>
  </si>
  <si>
    <t>rs62063786</t>
  </si>
  <si>
    <t>rs62063787</t>
  </si>
  <si>
    <t>rs10445337</t>
  </si>
  <si>
    <t>rs62063857</t>
  </si>
  <si>
    <t>rs34579536</t>
  </si>
  <si>
    <t>rs34043286</t>
  </si>
  <si>
    <t>rs11652075</t>
  </si>
  <si>
    <t>rs45575337</t>
  </si>
  <si>
    <t>rs1051738</t>
  </si>
  <si>
    <t>rs2288904</t>
  </si>
  <si>
    <t>rs17850995</t>
  </si>
  <si>
    <t>rs17570</t>
  </si>
  <si>
    <t>rs601338</t>
  </si>
  <si>
    <t>rs602662</t>
  </si>
  <si>
    <r>
      <t>PP</t>
    </r>
    <r>
      <rPr>
        <vertAlign val="subscript"/>
        <sz val="12"/>
        <rFont val="Calibri (Body)"/>
      </rPr>
      <t>prot-alt</t>
    </r>
    <r>
      <rPr>
        <sz val="12"/>
        <rFont val="Calibri"/>
        <family val="2"/>
        <scheme val="minor"/>
      </rPr>
      <t>, posterior probability that protein-altering variant is causal for the associated susceptibility signal based on statistical fine-mapping.</t>
    </r>
  </si>
  <si>
    <r>
      <t>Amino acid substitution</t>
    </r>
    <r>
      <rPr>
        <b/>
        <vertAlign val="superscript"/>
        <sz val="12"/>
        <color theme="1"/>
        <rFont val="Calibri (Body)"/>
      </rPr>
      <t>a</t>
    </r>
  </si>
  <si>
    <r>
      <rPr>
        <vertAlign val="superscript"/>
        <sz val="12"/>
        <rFont val="Calibri (Body)"/>
      </rPr>
      <t>a</t>
    </r>
    <r>
      <rPr>
        <sz val="12"/>
        <rFont val="Calibri"/>
        <family val="2"/>
        <scheme val="minor"/>
      </rPr>
      <t xml:space="preserve"> Alternative amino acid substitutions represent effect on alternative transcripts as annotated by VEP</t>
    </r>
  </si>
  <si>
    <t xml:space="preserve">Excluding
HLA region </t>
  </si>
  <si>
    <t>Including
HLA region</t>
  </si>
  <si>
    <r>
      <t>LDSC estimated liability scale variance explained by common variants
h</t>
    </r>
    <r>
      <rPr>
        <vertAlign val="superscript"/>
        <sz val="12"/>
        <color theme="1"/>
        <rFont val="Calibri (Body)"/>
      </rPr>
      <t>2</t>
    </r>
    <r>
      <rPr>
        <sz val="12"/>
        <color theme="1"/>
        <rFont val="Calibri"/>
        <family val="2"/>
        <scheme val="minor"/>
      </rPr>
      <t xml:space="preserve"> (standard error)</t>
    </r>
  </si>
  <si>
    <r>
      <t xml:space="preserve">Percentage of variance explained by independent signals
</t>
    </r>
    <r>
      <rPr>
        <sz val="12"/>
        <color rgb="FFFF0000"/>
        <rFont val="Calibri (Body)"/>
      </rPr>
      <t>(Percentage of LDSC common variant heritability attributable to independent signals)</t>
    </r>
  </si>
  <si>
    <t>(14.6%)</t>
  </si>
  <si>
    <t>(2.9%)</t>
  </si>
  <si>
    <t>(14.5%)</t>
  </si>
  <si>
    <t>(14.4%)</t>
  </si>
  <si>
    <t>(2.8%)</t>
  </si>
  <si>
    <t>(14.3%)</t>
  </si>
  <si>
    <t>RIGI</t>
  </si>
  <si>
    <t>Chr, chromosome;  EA, effect allele; NEA non-effect allele; PP, posterior probability. Newly reported loci with multiple independent association signals are shaded grey.</t>
  </si>
  <si>
    <t>Association signal lead variant</t>
  </si>
  <si>
    <t>Summary of loci newly reported in Europeans</t>
  </si>
  <si>
    <r>
      <rPr>
        <vertAlign val="superscript"/>
        <sz val="12"/>
        <color theme="1"/>
        <rFont val="Calibri (Body)"/>
      </rPr>
      <t>a, b, c, d, e, f, g, h</t>
    </r>
    <r>
      <rPr>
        <sz val="12"/>
        <color theme="1"/>
        <rFont val="Calibri"/>
        <family val="2"/>
        <scheme val="minor"/>
      </rPr>
      <t xml:space="preserve"> See table footnotes</t>
    </r>
  </si>
  <si>
    <t>IL23A, STAT2, STAT2 (PsA)</t>
  </si>
  <si>
    <t>0.422 (0.040)</t>
  </si>
  <si>
    <t>0.465 (0.044)</t>
  </si>
  <si>
    <t>0.501 (0.047)</t>
  </si>
  <si>
    <t>0.531 (0.050)</t>
  </si>
  <si>
    <t>0.559 (0.053)</t>
  </si>
  <si>
    <t>0.536 (0.120)</t>
  </si>
  <si>
    <t>0.592 (0.132)</t>
  </si>
  <si>
    <t>0.637 (0.143)</t>
  </si>
  <si>
    <t>0.676 (0.151)</t>
  </si>
  <si>
    <t>0.711 (0.159)</t>
  </si>
  <si>
    <t xml:space="preserve">
  regulatory probability of that variant in all other tested tissues (excluding the generic regulatory probability). These numbers reflect the fact that skin and blood frequently have regulatory probabilities identical to those of other tissues (see note b).</t>
  </si>
  <si>
    <t>DE, differentially expressed following cytokine stimulation.</t>
  </si>
  <si>
    <r>
      <t>Results of estimating genetic correlation (r</t>
    </r>
    <r>
      <rPr>
        <vertAlign val="subscript"/>
        <sz val="12"/>
        <rFont val="Calibri (Body)"/>
      </rPr>
      <t>g</t>
    </r>
    <r>
      <rPr>
        <sz val="12"/>
        <rFont val="Calibri"/>
        <family val="2"/>
        <scheme val="minor"/>
      </rPr>
      <t>) between psoriasis susceptibility and 592 other traits. Table is sorted by (i) correlation significant/not significant, (ii) correlation point estimate.</t>
    </r>
  </si>
  <si>
    <t>Yellow and blue cells denote traits with significant positive and negative genetic correlation with psoriasis, respectively.</t>
  </si>
  <si>
    <t>Targets for existing
psoriasis therapies</t>
  </si>
  <si>
    <t>TNF (e.g. by adalimumab, certolizumab, etanercept, infliximab)</t>
  </si>
  <si>
    <t>AHR (e.g. by tapinarof)</t>
  </si>
  <si>
    <t>IL17RA (e.g. by brodalumab)</t>
  </si>
  <si>
    <t>TYK2 (e.g. by deucravacitinib), PDE4A (e.g. by apremilast)</t>
  </si>
  <si>
    <t>PDE4C (e.g. by apremilast)</t>
  </si>
  <si>
    <t>IL12B (e.g. by ustekinumab)</t>
  </si>
  <si>
    <t>IL23A (e.g. by guselkumab, risankizumab, tildrakizumab﻿)</t>
  </si>
  <si>
    <r>
      <rPr>
        <sz val="12"/>
        <color theme="1"/>
        <rFont val="Calibri (Body)"/>
      </rPr>
      <t>Region number</t>
    </r>
    <r>
      <rPr>
        <vertAlign val="superscript"/>
        <sz val="12"/>
        <color theme="1"/>
        <rFont val="Calibri"/>
        <family val="2"/>
        <scheme val="minor"/>
      </rPr>
      <t>a</t>
    </r>
  </si>
  <si>
    <r>
      <rPr>
        <sz val="12"/>
        <color theme="1"/>
        <rFont val="Calibri (Body)"/>
      </rPr>
      <t>Posterior probability of causality</t>
    </r>
    <r>
      <rPr>
        <vertAlign val="superscript"/>
        <sz val="12"/>
        <color theme="1"/>
        <rFont val="Calibri"/>
        <family val="2"/>
        <scheme val="minor"/>
      </rPr>
      <t>b</t>
    </r>
  </si>
  <si>
    <r>
      <t>Posterior probability of causality for next highest TURF variant</t>
    </r>
    <r>
      <rPr>
        <vertAlign val="superscript"/>
        <sz val="12"/>
        <color theme="1"/>
        <rFont val="Calibri (Body)"/>
      </rPr>
      <t>b</t>
    </r>
  </si>
  <si>
    <r>
      <t>Tissue(s) with highest tissue-specific TURF probability for candidate regulatory variant</t>
    </r>
    <r>
      <rPr>
        <vertAlign val="superscript"/>
        <sz val="12"/>
        <color theme="1"/>
        <rFont val="Calibri (Body)"/>
      </rPr>
      <t>c</t>
    </r>
  </si>
  <si>
    <r>
      <t>Number of tissues with TURF probability &gt; skin</t>
    </r>
    <r>
      <rPr>
        <vertAlign val="superscript"/>
        <sz val="12"/>
        <color theme="1"/>
        <rFont val="Calibri (Body)"/>
      </rPr>
      <t>d</t>
    </r>
  </si>
  <si>
    <r>
      <t>Number of tissues with TURF probability &lt; skin</t>
    </r>
    <r>
      <rPr>
        <vertAlign val="superscript"/>
        <sz val="12"/>
        <color theme="1"/>
        <rFont val="Calibri (Body)"/>
      </rPr>
      <t>d</t>
    </r>
  </si>
  <si>
    <r>
      <t>Number of tissues with TURF probability &gt; blood</t>
    </r>
    <r>
      <rPr>
        <vertAlign val="superscript"/>
        <sz val="12"/>
        <color theme="1"/>
        <rFont val="Calibri (Body)"/>
      </rPr>
      <t>d</t>
    </r>
  </si>
  <si>
    <r>
      <t>Number of tissues with TURF probability &lt; blood</t>
    </r>
    <r>
      <rPr>
        <vertAlign val="superscript"/>
        <sz val="12"/>
        <color theme="1"/>
        <rFont val="Calibri (Body)"/>
      </rPr>
      <t>d</t>
    </r>
  </si>
  <si>
    <r>
      <rPr>
        <vertAlign val="superscript"/>
        <sz val="12"/>
        <rFont val="Calibri (Body)"/>
      </rPr>
      <t>b</t>
    </r>
    <r>
      <rPr>
        <sz val="12"/>
        <rFont val="Calibri"/>
        <family val="2"/>
        <scheme val="minor"/>
      </rPr>
      <t xml:space="preserve"> Posterior probability refers to statistical (Bayesian) fine-mapping</t>
    </r>
  </si>
  <si>
    <r>
      <rPr>
        <vertAlign val="superscript"/>
        <sz val="12"/>
        <rFont val="Calibri (Body)"/>
      </rPr>
      <t>c</t>
    </r>
    <r>
      <rPr>
        <sz val="12"/>
        <rFont val="Calibri"/>
        <family val="2"/>
        <scheme val="minor"/>
      </rPr>
      <t xml:space="preserve"> Note that tissue-specific probabilities for a given variant are frequently identical across several different tissues. Up to five joint-top tissues are listed here.</t>
    </r>
  </si>
  <si>
    <r>
      <rPr>
        <vertAlign val="superscript"/>
        <sz val="12"/>
        <rFont val="Calibri (Body)"/>
      </rPr>
      <t>d</t>
    </r>
    <r>
      <rPr>
        <sz val="12"/>
        <rFont val="Calibri"/>
        <family val="2"/>
        <scheme val="minor"/>
      </rPr>
      <t xml:space="preserve"> Number of tissues with TURF probability &gt; or &lt; skin (respectively, number of tissues with TURF probability &gt; or &lt; blood): these columns describe how the regulatory probability of a given variant in skin (respectively, blood) ranks in comparison to the</t>
    </r>
  </si>
  <si>
    <t/>
  </si>
  <si>
    <t>For: GWAS meta-analysis of psoriasis identifies new susceptibility alleles impacting disease mechanisms and therapeutic targets</t>
  </si>
  <si>
    <t>Chr, chromosome; LD, linkage disequilibrium; EA, effect allele; NEA non-effect allele; Het., heterogeneity; PP, posterior probability. Psoriasis-associated regions not previously reported in European populations are shaded yellow.</t>
  </si>
  <si>
    <t>Current meta-analysis results (previously reported lead variant)</t>
  </si>
  <si>
    <t>Current meta-analysis results (lowest p-value within 1Mb of previously reported lead variant)</t>
  </si>
  <si>
    <t>0.150 (-0.103, 0.404)</t>
  </si>
  <si>
    <t>0.005 (-0.008, 0.018)</t>
  </si>
  <si>
    <t>0.030 (0.021, 0.039)</t>
  </si>
  <si>
    <t>0.061 (-0.049, 0.171)</t>
  </si>
  <si>
    <t>0.233 (0.162, 0.305)</t>
  </si>
  <si>
    <t>0.007 (-0.009, 0.022)</t>
  </si>
  <si>
    <t>0.246 (0.175, 0.317)</t>
  </si>
  <si>
    <t>0.006 (-0.009, 0.022)</t>
  </si>
  <si>
    <t>1.572 (-0.600, 3.744)</t>
  </si>
  <si>
    <t>0.000 (-0.000, 0.001)</t>
  </si>
  <si>
    <t>0.094 (0.054, 0.134)</t>
  </si>
  <si>
    <t>0.015 (-0.034, 0.065)</t>
  </si>
  <si>
    <t>-0.052 (-0.271, 0.167)</t>
  </si>
  <si>
    <t>0.003 (-0.023, 0.028)</t>
  </si>
  <si>
    <t>0.490 (-0.095, 1.076)</t>
  </si>
  <si>
    <t>-0.001 (-0.010, 0.007)</t>
  </si>
  <si>
    <t>0.321 (-1.804, 2.445)</t>
  </si>
  <si>
    <t>-0.000 (-0.001, 0.001)</t>
  </si>
  <si>
    <t>10.771 (-10.323, 31.864)</t>
  </si>
  <si>
    <t>0.119 (-11.871, 12.110)</t>
  </si>
  <si>
    <t>0.001 (0.000, 0.001)</t>
  </si>
  <si>
    <t>-0.641 (-1.698, 0.416)</t>
  </si>
  <si>
    <t>-0.001 (-0.003, 0.001)</t>
  </si>
  <si>
    <t>Negative GCP traits</t>
  </si>
  <si>
    <t>Positive GCP traits</t>
  </si>
  <si>
    <t>Causal direction: Trait → Psoriasis</t>
  </si>
  <si>
    <t>Causal direction: Psoriasis → Trait</t>
  </si>
  <si>
    <t>Number
of SNPs</t>
  </si>
  <si>
    <t>not tested</t>
  </si>
  <si>
    <t>unavailable</t>
  </si>
  <si>
    <t>No. eQTL signals</t>
  </si>
  <si>
    <t>Max. coloc PP4</t>
  </si>
  <si>
    <t>SUOX, RPS26, CNPY2</t>
  </si>
  <si>
    <t>HSD3B7, STX1B, RP11-196G11.2, ZNF646, PRSS53, VKORC1, KAT8</t>
  </si>
  <si>
    <t>No. filtered</t>
  </si>
  <si>
    <t>Filtered TWAS genes</t>
  </si>
  <si>
    <t>Min. coloc PP3</t>
  </si>
  <si>
    <t>LINGO4, LCE3C, LCE3A</t>
  </si>
  <si>
    <t>IL4, HSPA4</t>
  </si>
  <si>
    <t>PPP1R14B, CCDC88B, SNX32, CTSW</t>
  </si>
  <si>
    <t>STAT3, CNTNAP1</t>
  </si>
  <si>
    <t>AP1M2, SLC44A2, ILF3, TMED1</t>
  </si>
  <si>
    <t>SSBP4, ELL</t>
  </si>
  <si>
    <t>Model pred. filter</t>
  </si>
  <si>
    <t>Pass</t>
  </si>
  <si>
    <t>Fail</t>
  </si>
  <si>
    <t>83 *</t>
  </si>
  <si>
    <t>101 *</t>
  </si>
  <si>
    <t>* indicates that a suggestive significant instrument was used due to the absence of any genome-wide significant variants.</t>
  </si>
  <si>
    <t>Blood</t>
  </si>
  <si>
    <t>Non sun-exposed skin</t>
  </si>
  <si>
    <t>Tissue</t>
  </si>
  <si>
    <t>0.222
(0.017)</t>
  </si>
  <si>
    <t>0.221
(0.017)</t>
  </si>
  <si>
    <t>0.220
(0.017)</t>
  </si>
  <si>
    <t>0.037
(0.010)</t>
  </si>
  <si>
    <t>0.040
(0.014)</t>
  </si>
  <si>
    <t>0.030
(0.012)</t>
  </si>
  <si>
    <t>0.167
(0.046)</t>
  </si>
  <si>
    <t>0.183
(0.064)</t>
  </si>
  <si>
    <t>0.137
(0.054)</t>
  </si>
  <si>
    <r>
      <t>Estimated h</t>
    </r>
    <r>
      <rPr>
        <b/>
        <vertAlign val="superscript"/>
        <sz val="12"/>
        <color theme="1"/>
        <rFont val="Calibri (Body)"/>
      </rPr>
      <t>2</t>
    </r>
  </si>
  <si>
    <r>
      <t>Estimated h</t>
    </r>
    <r>
      <rPr>
        <b/>
        <vertAlign val="superscript"/>
        <sz val="12"/>
        <color theme="1"/>
        <rFont val="Calibri (Body)"/>
      </rPr>
      <t>2</t>
    </r>
    <r>
      <rPr>
        <b/>
        <vertAlign val="subscript"/>
        <sz val="12"/>
        <color theme="1"/>
        <rFont val="Calibri (Body)"/>
      </rPr>
      <t>med</t>
    </r>
  </si>
  <si>
    <r>
      <t>Proportion h</t>
    </r>
    <r>
      <rPr>
        <b/>
        <vertAlign val="superscript"/>
        <sz val="12"/>
        <color theme="1"/>
        <rFont val="Calibri (Body)"/>
      </rPr>
      <t>2</t>
    </r>
    <r>
      <rPr>
        <b/>
        <vertAlign val="subscript"/>
        <sz val="12"/>
        <color theme="1"/>
        <rFont val="Calibri (Body)"/>
      </rPr>
      <t>med</t>
    </r>
  </si>
  <si>
    <t>0.236
(0.018)</t>
  </si>
  <si>
    <t>0.076
(0.027)</t>
  </si>
  <si>
    <t>0.324
(0.109)</t>
  </si>
  <si>
    <t>All GTEx tissues</t>
  </si>
  <si>
    <r>
      <t>Results presented as: Estimate (Standard error). h</t>
    </r>
    <r>
      <rPr>
        <vertAlign val="superscript"/>
        <sz val="12"/>
        <rFont val="Calibri (Body)"/>
      </rPr>
      <t>2</t>
    </r>
    <r>
      <rPr>
        <sz val="12"/>
        <rFont val="Calibri"/>
        <family val="2"/>
        <scheme val="minor"/>
      </rPr>
      <t>, estimated SNP heritability; h</t>
    </r>
    <r>
      <rPr>
        <vertAlign val="superscript"/>
        <sz val="12"/>
        <rFont val="Calibri (Body)"/>
      </rPr>
      <t>2</t>
    </r>
    <r>
      <rPr>
        <vertAlign val="subscript"/>
        <sz val="12"/>
        <rFont val="Calibri (Body)"/>
      </rPr>
      <t>med</t>
    </r>
    <r>
      <rPr>
        <sz val="12"/>
        <rFont val="Calibri"/>
        <family val="2"/>
        <scheme val="minor"/>
      </rPr>
      <t>, estimated heritability mediated by cis genetic component of gene expression; GTEx, Genotype-Tissue Expression project.</t>
    </r>
  </si>
  <si>
    <t>The table includes all genes passing TWAS filters in any of the three tissues (i.e. significant TWAS p-value, significant model prediction p-value and no colocalization evidence of independent signals) .</t>
  </si>
  <si>
    <t>Green shading in "Model pred. filter" and "Min. coloc PP3" columns indicate that the gene passed these filters for the given tissue. In the "Max. coloc PP4" column, green shading indicates further evidence of colocalized psoriasis/eQTL signal with posterior probability (PP) &gt;0.8, and yellow shading with PP&gt;0.5.</t>
  </si>
  <si>
    <t>TWAS genes before applying additional filters</t>
  </si>
  <si>
    <t>TWAS genes after applying additional filters</t>
  </si>
  <si>
    <t>TWAS, transcriptome-wide association study. Results are presented both before and after filtering transcriptome-wide significant TWAS associations using additional criteria based on model prediction p-value and coloc "PP3" evidence for independent signals (see Methods)</t>
  </si>
  <si>
    <t>SGSH, CWF19L1, SUOX</t>
  </si>
  <si>
    <t>AP1M2, STX1B, BLOC1S2, HSPA4, UBE2L3, MFN2</t>
  </si>
  <si>
    <t>ALOX15, CCDC88B, IRF5, ARRB2</t>
  </si>
  <si>
    <t>CTSW, IL4, KLRC1</t>
  </si>
  <si>
    <t>CWF19L1, SGSH</t>
  </si>
  <si>
    <t>CEBPG, POU2F3, PPP1R14B, LCE3A, ILF3, IKBKE</t>
  </si>
  <si>
    <t>CCDC88B, IRF5, ARRB2</t>
  </si>
  <si>
    <t>TRIM65, SNX32, RASIP1, STAT3, KAT8</t>
  </si>
  <si>
    <t>IL4, KLRC1</t>
  </si>
  <si>
    <t>SUOX, SGSH</t>
  </si>
  <si>
    <t>CEBPG, PPP1R14B, LCE3A, ILF3, IKBKE, SPATA2</t>
  </si>
  <si>
    <t>CWF19L1, SUOX</t>
  </si>
  <si>
    <t>ALOX15, CCDC88B, ARRB2</t>
  </si>
  <si>
    <t>Rank</t>
  </si>
  <si>
    <t>Gene set</t>
  </si>
  <si>
    <t>Gene set size</t>
  </si>
  <si>
    <t>Overlap</t>
  </si>
  <si>
    <t>FDR</t>
  </si>
  <si>
    <t>Genes in overlap</t>
  </si>
  <si>
    <t>HP_ABNORMAL_HAIR_MORPHOLOGY</t>
  </si>
  <si>
    <t>HP_FACIAL_HYPERTRICHOSIS</t>
  </si>
  <si>
    <t>HP_ABNORMALITY_OF_HAIR_TEXTURE</t>
  </si>
  <si>
    <t>HP_INFANTILE_MUSCULAR_HYPOTONIA</t>
  </si>
  <si>
    <t>HP_HYPERTRICHOSIS</t>
  </si>
  <si>
    <t>GOBP_INTRACELLULAR_PROTEIN_TRANSPORT</t>
  </si>
  <si>
    <t>GOBP_BIOLOGICAL_PROCESS_INVOLVED_IN_INTERSPECIES_INTERACTION_BETWEEN_ORGANISMS</t>
  </si>
  <si>
    <t>GOBP_DEFENSE_RESPONSE</t>
  </si>
  <si>
    <t>GOBP_INTRACELLULAR_TRANSPORT</t>
  </si>
  <si>
    <t>GOBP_CYTOKINE_PRODUCTION</t>
  </si>
  <si>
    <t>GOBP_POSITIVE_REGULATION_OF_GENE_EXPRESSION</t>
  </si>
  <si>
    <t>GOBP_DEFENSE_RESPONSE_TO_OTHER_ORGANISM</t>
  </si>
  <si>
    <t>GOBP_REGULATION_OF_IMMUNE_SYSTEM_PROCESS</t>
  </si>
  <si>
    <t>GOBP_REGULATION_OF_AUTOPHAGY</t>
  </si>
  <si>
    <t>GOBP_PROCESS_UTILIZING_AUTOPHAGIC_MECHANISM</t>
  </si>
  <si>
    <t>GOBP_REGULATION_OF_CATABOLIC_PROCESS</t>
  </si>
  <si>
    <t>GOBP_IMMUNE_RESPONSE</t>
  </si>
  <si>
    <t>GOBP_NEGATIVE_REGULATION_OF_CELL_KILLING</t>
  </si>
  <si>
    <t>GOBP_NEGATIVE_REGULATION_OF_ADAPTIVE_IMMUNE_RESPONSE</t>
  </si>
  <si>
    <t>GOBP_REGULATION_OF_T_CELL_MEDIATED_IMMUNITY</t>
  </si>
  <si>
    <t>GOBP_REGULATION_OF_CELL_KILLING</t>
  </si>
  <si>
    <t>ERAP1, RASIP1, STAT3, CNTNAP1</t>
  </si>
  <si>
    <t>ERAP1, VKORC1, STAT3, HSD3B7</t>
  </si>
  <si>
    <t>GOBP_CELLULAR_MACROMOLECULE_LOCALIZATION</t>
  </si>
  <si>
    <t>HP_ABNORMAL_BLEEDING</t>
  </si>
  <si>
    <t>GOBP_ANATOMICAL_STRUCTURE_FORMATION_INVOLVED_IN_MORPHOGENESIS</t>
  </si>
  <si>
    <r>
      <t>P</t>
    </r>
    <r>
      <rPr>
        <b/>
        <vertAlign val="subscript"/>
        <sz val="12"/>
        <color theme="1"/>
        <rFont val="Calibri (Body)"/>
      </rPr>
      <t>hyper</t>
    </r>
  </si>
  <si>
    <t>Cluster 1</t>
  </si>
  <si>
    <t>Cluster 2</t>
  </si>
  <si>
    <t>Cluster 3</t>
  </si>
  <si>
    <t>Cluster 4</t>
  </si>
  <si>
    <t>Cluster 5</t>
  </si>
  <si>
    <t>T cells, n = 6</t>
  </si>
  <si>
    <t>Endothelial and lymphatic endothelial cells and fibroblasts, n = 17</t>
  </si>
  <si>
    <t>Dendritic cells, n = 7</t>
  </si>
  <si>
    <t>Keratinocytes and melanocytes, n = 23</t>
  </si>
  <si>
    <t>Eccrine cells, n = 6</t>
  </si>
  <si>
    <t>Causal estimates derived from two-sample Mendelian randomization (Wald ratio/inverse-variance weighted test) for significant LCV traits.</t>
  </si>
  <si>
    <t>MR effect size
(95% CI)</t>
  </si>
  <si>
    <t>GCP: genetic causality proportion; CI: confidence interval; green highlighting: nominally significant p-value.</t>
  </si>
  <si>
    <t>rs10794532</t>
  </si>
  <si>
    <t>Han Chinese</t>
  </si>
  <si>
    <t>Zuo et al Nat Commun 2015</t>
  </si>
  <si>
    <t>rs2312786</t>
  </si>
  <si>
    <t>Japanese + European</t>
  </si>
  <si>
    <t>Sakaue et al Nat Genet 2021</t>
  </si>
  <si>
    <t>rs1042636</t>
  </si>
  <si>
    <t>rs1020760</t>
  </si>
  <si>
    <t>Sheng et al Nat Commun 2014</t>
  </si>
  <si>
    <t>rs149442660</t>
  </si>
  <si>
    <t>Yang et al J Invest Dermatol 2019</t>
  </si>
  <si>
    <t>rs12650590</t>
  </si>
  <si>
    <t>Egyptian</t>
  </si>
  <si>
    <t>Bejaoui et al Exp Dermatol 2019</t>
  </si>
  <si>
    <t>rs249038</t>
  </si>
  <si>
    <t>rs2431697</t>
  </si>
  <si>
    <t>Chinese + European</t>
  </si>
  <si>
    <t>Sun et al Nat Genet 2010</t>
  </si>
  <si>
    <t>rs35960711</t>
  </si>
  <si>
    <t>rs4141001</t>
  </si>
  <si>
    <t>rs144706178</t>
  </si>
  <si>
    <t>rs10088247</t>
  </si>
  <si>
    <t>rs2778031</t>
  </si>
  <si>
    <t>rs10743108</t>
  </si>
  <si>
    <t>rs2243750</t>
  </si>
  <si>
    <t>rs72474224</t>
  </si>
  <si>
    <t>Tang et al Nat Genet 2014</t>
  </si>
  <si>
    <t>Yin et al Nat Commun 2015</t>
  </si>
  <si>
    <t>rs2781377</t>
  </si>
  <si>
    <t>rs12602912</t>
  </si>
  <si>
    <t>rs12449858</t>
  </si>
  <si>
    <t>rs514315</t>
  </si>
  <si>
    <t>rs9304742</t>
  </si>
  <si>
    <t>rs3174808</t>
  </si>
  <si>
    <t>SNP</t>
  </si>
  <si>
    <t>Chromosome</t>
  </si>
  <si>
    <t>Study population(s)</t>
  </si>
  <si>
    <t>Study</t>
  </si>
  <si>
    <t xml:space="preserve">Includes most significant previously reported associations at loci outside of meta-analysis loci (LD blocks). </t>
  </si>
  <si>
    <t>Kiel (GSA)</t>
  </si>
  <si>
    <t>Michigan (Exomechip)</t>
  </si>
  <si>
    <t>Michigan (GSA)</t>
  </si>
  <si>
    <t>PsA GWAS</t>
  </si>
  <si>
    <t>Toronto (GSA)</t>
  </si>
  <si>
    <t>Ethics approval</t>
  </si>
  <si>
    <t>All participants provided written informed consent. BSTOP received approval from the London - Westminster Research Ethics Committee (previously called South East London REC 2 when originally approved in 2011), reference 11/H0802/7.</t>
  </si>
  <si>
    <t>Participating institutions obtained informed consent from patients in adherence with the Declaration of Helsinki Principles.</t>
  </si>
  <si>
    <t>Studies were approved by the ethical committee of the Friedich-Alexander-Universität Erlangen-Nürnberg and the ones of further involved universities. Written informed consent was obtained from each affected individual before enrolment. We conducted investigations according to Declaration of Helsinki principles. Control individuals of the HNR study also gave written informed consent. The study was approved by the institutional ethics committee of the University Hospital Essen and comprises extended quality management procedures, including a certification according to DIN ISO 9001:2000.</t>
  </si>
  <si>
    <t>Approval from the Research Ethics Committee of the University of Tartu, reference 265/T-21.</t>
  </si>
  <si>
    <t>Approval from the Estonian Council of Bioethics and Human Research, decision nr 1.1-12/624.</t>
  </si>
  <si>
    <t>Participation in the HUNT Study is based on informed consent, and the study has been approved by the Data Inspectorate and the Regional Ethics Committee for Medical Research in Norway (REK 2014/144 and 2015/586).</t>
  </si>
  <si>
    <t>Patients provided written informed consent: Ethical review board of the Medical Faculty of the CAU (Christian-Albrechts-University of Kiel, Germany)</t>
  </si>
  <si>
    <t>Patients provided written informed consent: UK PsA National Repository MREC 99/8/84, Frenchay Regional Ethics Committee 12/SW/0110, local ethics committee of the St Vincent’s University Hospital and local ethics committee of the University Hospital of Geneva (protocol 10-089)</t>
  </si>
  <si>
    <t xml:space="preserve">Participating institution obtained ethics approval from local IRB [The Health Research Ethics Board (HREB), Newfoundland and Labrador]. All participants provided informed consent as a part of  loical IRB ethics approval process. </t>
  </si>
  <si>
    <t xml:space="preserve">All participants provided written informed consent as part of the local GO-SHARE ethics approval process. All data handling was approved by local governance approval board (Caldicot nr C/S-AppJF1546). </t>
  </si>
  <si>
    <t>All patients provided written informed consent for an IRB-approved study at the University of California San Francisco.</t>
  </si>
  <si>
    <t>All participants provided electronically written informed consent. UK Biobank has approval from the North West Multi-Centre Research Ethics Committee (REC reference 11/NW/0382). This research forms part of approved project number 15147.</t>
  </si>
  <si>
    <t>Ascertainment (cases and controls)</t>
  </si>
  <si>
    <t>Initial sample size</t>
  </si>
  <si>
    <t>Genetic data available for 488,288 participants</t>
  </si>
  <si>
    <t>Genotyping array</t>
  </si>
  <si>
    <t>Perlegen Sciences (Mountain View, CA, USA) genotyped discovery samples using four proprietary, high-density oligonucleotide arrays. SNPs on the arrays were selected to tag common variation in European ancestry samples.</t>
  </si>
  <si>
    <t>Infinium Global Screening Array v2, genotyped in two passes using Illumina Genome Studio. Clusters for second pass genotyping were pre-calculated from a subset of high quality (&gt;99% call rate in first pass) samples.</t>
  </si>
  <si>
    <t>Affymetrix PMRA</t>
  </si>
  <si>
    <t>Illumina Infinium Global Screening Array</t>
  </si>
  <si>
    <t>Iluumina Human !M Beadchip</t>
  </si>
  <si>
    <t>Participants from HUNT2 and HUNT3 were genotyped using one of three different Illumina HumanCoreExome arrays (HumanCoreExome12v1.0, HumanCoreExome12v1.1 and UM HUNT Biobankv1.0).</t>
  </si>
  <si>
    <t>Illumina Infinium Global Screening Array MD v1.0</t>
  </si>
  <si>
    <t>Affymetrix Axiom Biobank Plus Genotyping Array</t>
  </si>
  <si>
    <t>Affymetrix UK Biobank Array</t>
  </si>
  <si>
    <t>Illumina HumanOmni1-Quad BeadChip array </t>
  </si>
  <si>
    <t>Axiom UK Biobank Array</t>
  </si>
  <si>
    <t>Applied Biosystems UK BiLEVE Axiom Array, or Applied Biosystems UK Biobank Axiom Array (Applied Biosystems, Waltham, MA),</t>
  </si>
  <si>
    <t>Samples were genotyped at the Sanger Institute on the Illumina Infinium platform. Samples from the case collection were genotyped on the Human660W-Quad (a custom chip designed by WTCCC2)</t>
  </si>
  <si>
    <t>QC steps</t>
  </si>
  <si>
    <t>QC steps for case data have been described previously (Douroudis et al, J Invest Dermatol 2022; Dand et al, J Allergy Clin Immunol 2019). Identical steps were performed for control data. In both cases, non-European samples were retained to be removed after merging. Datasets were merged keeping only those variants typed using identical probe sequences on case and control genotyping arrays (n = 543,304). Subsequent QC was performed on the merged data: relatedness was checked using KING v1.4 and one of each pair (second-degree or closer) was removed; removal of variants and samples with missingness &gt;1%; removal of variants with differential missingness between cases and controls (p&lt;1e-5); check for allele flips between cases and controls (PLINK --flip-scan): none found; principal component analysis to remove non-European ancestry samples; removal of palindromic SNPs with MAF&gt;0.4 in cases or controls; batch effect check: perform association testing outside of known psoriasis susceptibility regions and check that genome-wide significant associations appear supported by associations at nearby SNPs. All QC performed using PLINK v1.9 and KING v1.4.</t>
  </si>
  <si>
    <t>All the samples in our study are of Caucasian descent and samples were excluded if they had substantial non-European admixture. X chromosome genotypes were used to validate gender. Population stratification was addressed using principal components analysis and geographic indicator covariates. Furthermore, markers with &lt;0.01 MAF (minor allele frequency), &lt;95% genotype call rate, &lt;1 × 10−6 Hardy–Weinberg p value were removed.</t>
  </si>
  <si>
    <t>Removal of samples with call rate &lt;97% and of SNPs with call rate &lt;95% or HWE p-value &lt; 1E-6 or MAF = 0. Identification of related samples by PLINK IBD (Z1 or Z2 &gt; Z0), removal of the sample with lower call rate from each pair. PCA using PLINK (10 PCs calculated), removal of outlier samples (&gt;4 SD in any PC).</t>
  </si>
  <si>
    <t>Exclude all variants with &lt;90% call rate; subsequently exclude samples with missingness &gt;2% and variants with missingness &gt;5%. Exclude variants with minor allele frequency &lt;1%. Check genetically inferred vs reported sex (all agree). Exclude one of each pair of related samples (second degree or closer). Exclude variants with HWE p&lt;1e-6. Exclude samples with high heterozygosity/inbreeding estimate (|F|&gt;0.03). Remove ancestry outliers based on principal component analysis. All QC performed using PLINK v1.9 and KING v1.4.</t>
  </si>
  <si>
    <t xml:space="preserve">QC included filtering on the basis of sample call rate (&lt;98%), heterozygosity (&gt; mean ± 3SD), genotype and phenotype sex discordance, cryptic relatedness (IBD &gt;20%) and outliers from the European descent based on a multidimensional scaling (MDS) plot in comparison with 210 HapMap reference samples. SNP quality filtering included call rate (&lt;99%), MAF (&lt;1%) and extreme deviation from Hardy–Weinberg equilibrium (P&lt;10−4). </t>
  </si>
  <si>
    <t>Genotype calling was performed with GenTrain v.2.0 in GenomeStudio v.2011.1 (Illumina). Samples with &lt;99% genotype calls, with large chromosomal copy number variants, contamination &gt;2.5% as estimated with BAF Regress (Jun et al. 2012), with genotypic and phenotypic sex discordance, and not of European ancestry were excluded, leaving 69,422 genotyped subjects. Genetic variants out of Hardy-Weinberg equilibrium (p-value &lt;0.0001) were excluded.</t>
  </si>
  <si>
    <t>QC steps have been described previously (Kässens et al. Gigascience 2021). After genotype calling with the Illumina Genomestudio software, we first removed samples with call rate &lt;90%. Variants that had &gt;2% missing data, had a minor allele frequency &lt;0.1%, had different missing genotype rates in affected and unaffected individuals (PFisher &lt;10−5) or deviated from Hardy-Weinberg equilibrium (&lt;10−5 in controls) were excluded. Samples that had &gt;2% missing data and overall increased or decreased heterozygosity rates (outlier individuals with an average marker heterozygosity of ±5 s.d. away from the sample mean) were removed. To test for population stratification, all samples were projected onto principal components (PC) axes generated from 26 reference populations from the 1000 Genomes Project using FlashPCA. For the first 2 PCs, samples with values smaller than the median ±5 times the interquartile range (median ±5 times IQR) represented PCA outliers and were removed. For robust duplicate/relatedness testing (identity-by-state [IBS] and identity-by-descent [IBD] estimation), we used the same set of linkage disequilibrium independent variants, which was dynamically determined for PCA analysis. An IBD value of &gt;0.98 identified duplicates and one individual (the one showing greater missingness) from each pair was removed. We further removed one individual from each pair with an IBD value of &gt;0.1875, which is halfway between the expected IBD for third- and second-degree relatives.
We computed Tracy-Widom statistics to evaluate the statistical significance of each principal component identified by PCA and identified the top four axes of variation significant at PTW &lt; 0.05.</t>
  </si>
  <si>
    <t>QC steps have been described previously (Soomro and Stadler et al Arthritis and Rheumatology 2022). Low quality PsA DNA samples (call rate &lt; 0.90) were excluded using the default Illumina cluster file followed by automated reclustering to calibrate genotype clusters on the study samples. Sample and SNP QC was performed on each dataset individually as follows: samples with a call rate &lt; 0.98, outliers based on autosomal heterozygosity (2 standard deviations from the mean) and discrepancy between genetically inferred sex and database records were excluded. SNP QC excluded non-autosomal SNPs, those with a call rate &lt; 0.98 or a minor allele frequency &lt; 0.01. Datasets were combined retaining the intersection of SNPs and further sample QC was performed on the combined dataset to exclude related individuals inferred by IBD (kinship coefficient &gt; 0.0884) using the KING software package (version 1.9). Outliers based on inferred ancestry were excluded using principal component analysis (PCA) performed with the flashpca software package (version 2.0) where outliers were identified using the aberrant clustering algorithm R library (version 1.0).</t>
  </si>
  <si>
    <t>After genotyping, SNPs were called with Affymetrix Power Tools v 1.18.0.
Default filters for Axiom UKB platform when calling genotypes: Call rate &lt;97%; Dish QC &lt;82%.
Then filtered out in the following order:
SNPs missing more than 20%; IND missing more than 2%; SNPs missing more than 5%; SNPs HWE p&lt;1E-06; Samples with high inbreeding coefficient (|F|&gt; 0.03).
We performed IBD and PCA using an LD-pruned dataset (r2&gt;0.2 filtered out) consisting of 284k SNPs. 146 cases and 111 controls were removed from the dataset after IBD analysis.  Four ancestry outliers were excluded at a threshold of sigma 7.</t>
  </si>
  <si>
    <t>After genotyping, SNPs were called with Affymetrix Power Tools v 1.18.0.
Default filters for Axiom UKB platform when calling genotypes: Call rate &lt;97%; Dish QC &lt;82%.  Then filtered out:
1)  SNPs missing more than 20%.
2)  IND missing more than 5%
3)  SNPs missing more than 5%
4)  HWE p&lt;0.001
5)  Samples with high inbreeding coefficient (|F|&gt; 0.03).
We  also performed IBD and PCA using an LD-pruned dataset (r2&gt;0.2 filtered out) consisting of 311k SNPs. Ancestry outliers were excluded at a threshold of sigma 6.</t>
  </si>
  <si>
    <t>Initial QC metrics were provided by the UK Biobank central team (Bycroft et al, Nature 2018). Based on these measures, samples were removed based on: non-European ancestry, gender mismatch, excess relatedness, heterozygosity or missingness &gt; 5%. Samples were subsequently extracted based on membership of the UKB unrelated White British ancestry subset, reducing the number of samples to 337,545. Additional individuals with low call rates (&lt;98%) in well called (&gt;90%) markers were additionally removed, further reducing the available samples to 336,814.</t>
  </si>
  <si>
    <t>Imputation details</t>
  </si>
  <si>
    <t>Michigan Imputation Server (phasing using EAGLE v2.3, imputation using Minimac3), imputation run twice with different reference panels (HRC version r1.1; 1000 Genomes Phase 3)</t>
  </si>
  <si>
    <t>Prephasing was performed using Eagle v2.3 software, and imputation was performed using Beagle v.28Sep18.793 with the use of an Estonian population–specific imputation reference panel built from 2,297 whole-genome sequencing samples.</t>
  </si>
  <si>
    <t>Imputation was performed on samples of recent European ancestry using panels from 1) the Haplotype Reference Consortium (HRC) and 2) the 1000 Genomes Phase 3 (1KGP3). 1) HRC (release v1.1): Phasing using EAGLE v 2.3, imputation using Minimac3 (v2.0.1, http://genome.sph.umich.edu/wiki/Minimac3) from a merged reference panel constructed from HRC panel (release v1.1) and a local reference panel based on 2,202 whole-genome sequenced HUNT participants, resulting in 24.9 million SNPs (R2≥0.3). 2) 1KGP3 (Phase3 v5): Imputation using Minimac4 (v1.0.2, https://genome.sph.umich.edu/wiki/Minimac4), 15.1 million SNPs (R2≥0.3).</t>
  </si>
  <si>
    <t>Sanger Imputation Server (phasing using EAGLE v2.3, imputation using PBWT), imputation run twice with different reference panels (HRC version r1.1; 1000 Genomes Phase 3)</t>
  </si>
  <si>
    <t>Imputed on Michigan Imputation server using both 1000 genomes and HRC as reference panel.</t>
  </si>
  <si>
    <t>Genotypes were imputed by the UK Biobank central team using IMPUTE2 software, based on a reference panel compiled from UK10K haplotypes and 1000 Genomes Phase 3 data.</t>
  </si>
  <si>
    <t>Post-imputation QC</t>
  </si>
  <si>
    <t>Filter variants for MAF&gt;=0.001 and imputation R2&gt;=0.7. Exclude inter-study related samples.</t>
  </si>
  <si>
    <t>Filter all model-fitted variants (post snptest) for MAF&gt;=0.001 and imputation R2&gt;=0.9</t>
  </si>
  <si>
    <t>Filter variants for MAF&gt;=0.001 and imputation R2&gt;=0.7. No inter-study related samples removed for this dataset.</t>
  </si>
  <si>
    <t>Filter variants for MAF&gt;=0.01 and imputation R2&gt;=0.7. Exclude inter-study related samples.</t>
  </si>
  <si>
    <t>Variants with MAF &gt;0.33% were included in the analyses, and dosages were used for imputed variants.</t>
  </si>
  <si>
    <t xml:space="preserve">Filter variants for MAF&gt;=0.001 and imputation R2&gt;=0.3. </t>
  </si>
  <si>
    <t>Filter variants for MAF&gt;=0.01 and imputation R2&gt;=0.5. Exclude inter-study related samples.</t>
  </si>
  <si>
    <t>Association testing was performed using all variants (after excluding any inter-study related samples) and shared with the central analysis team for subsequent QC.</t>
  </si>
  <si>
    <t>Filter variants for MAF&gt;=0.005 and imputation R2&gt;=0.7. Remove participants withdrawn from study at the date of GWAS analysis (May 2020). Exclude inter-study related samples.</t>
  </si>
  <si>
    <t>Final sample size</t>
  </si>
  <si>
    <t>Association testing</t>
  </si>
  <si>
    <t>Logistic regression in PLINK v2.00. Covariates: five principal components</t>
  </si>
  <si>
    <t>Logistic regression in PLINK v2.00. Covariates: 10 principal components and 2 site indicator variables</t>
  </si>
  <si>
    <t>Logistic regression with snptest (additive frequentist model, missing data likelihood score test) using 10 PCs as covariates</t>
  </si>
  <si>
    <t>Logistic regression in PLINK v2.00. Covariates: five principal components, five imputation batches</t>
  </si>
  <si>
    <t xml:space="preserve">Logistic regression in PLINK v2.00. Covariates: 10 principal components </t>
  </si>
  <si>
    <t xml:space="preserve">GWAS was run in SAIGE  v0.29, using sex, birth year, genotyping batch and 4 ancestry principal components as covariates. </t>
  </si>
  <si>
    <t>GWAS was run in SAIGE v0.29, using four ancestry principal components as covariates.</t>
  </si>
  <si>
    <t>SNPTEST (v2.5.2) frequentist score method: three principal components</t>
  </si>
  <si>
    <t>Logistic regression in PLINK v2.00. Covariates: 10 principal components  and 4 site indicator variables</t>
  </si>
  <si>
    <t xml:space="preserve">Logistic regression in PLINK v2.00. Covariates: 2 principal components  </t>
  </si>
  <si>
    <t>Logistic regression in PLINK v2.00. Covariates: 10 principal components  and 2 site indicator variables</t>
  </si>
  <si>
    <t>snptest_v2.5.4-beta3 using frequentist (additive) and score, adjusted for first 10 PCs</t>
  </si>
  <si>
    <t>Logistic regression in PLINK v2.00. Covariates: 2 principal components  and 1 site indicator variables</t>
  </si>
  <si>
    <t>Logistic regression in PLINK v2.00. Covariates: 20 principal components and array type</t>
  </si>
  <si>
    <t>Logistic regression in PLINK v2.00. Covariates: 1 principal component</t>
  </si>
  <si>
    <t>Table footnote: included UK Biobank diagnosis codes</t>
  </si>
  <si>
    <t>(1) self-reported psoriasis (data field 20002): 1453, 1477</t>
  </si>
  <si>
    <t>(3) linked "hospital episode statistics" diagnosis (ICD-10 coding) (data field 41270): L400, L401, L402, L403, L404, L405, L408, L409</t>
  </si>
  <si>
    <r>
      <t xml:space="preserve">(4) linked primary care diagnosis (table "gp_clinical"): </t>
    </r>
    <r>
      <rPr>
        <i/>
        <sz val="12"/>
        <color rgb="FF000000"/>
        <rFont val="Calibri"/>
        <family val="2"/>
        <scheme val="minor"/>
      </rPr>
      <t>v2 read codes</t>
    </r>
    <r>
      <rPr>
        <sz val="12"/>
        <color rgb="FF000000"/>
        <rFont val="Calibri"/>
        <family val="2"/>
        <scheme val="minor"/>
      </rPr>
      <t xml:space="preserve">: M07y0, M143., M16.., M160., M1600, M1602, M160z, M161., M1610, M1611, M1612, M1613, M1614, M1615, M1616, M1617, M1618, M1619, M161A, M161B, M161C, M161D, M161E, M161F, M161G, M161H, M161J, M161z, M166., M16y., M16y0, M16z., Myu3., Myu30, N0452; </t>
    </r>
    <r>
      <rPr>
        <i/>
        <sz val="12"/>
        <color rgb="FF000000"/>
        <rFont val="Calibri"/>
        <family val="2"/>
        <scheme val="minor"/>
      </rPr>
      <t>CTV3 read codes</t>
    </r>
    <r>
      <rPr>
        <sz val="12"/>
        <color rgb="FF000000"/>
        <rFont val="Calibri"/>
        <family val="2"/>
        <scheme val="minor"/>
      </rPr>
      <t>: M05.., M07y0, M160., M160., M1600, M1600, M160z, M160z, M161., M1610, M1611, M1612, M1613, M1614, M1615, M1616, M1617, M1618, M1619, M161A, M161B, M161C, M161D, M161D, M161E, M161F, M161G, M161z, Myu30, N033., N033., X506T, X506Y, X506Z, X506a, X506b, X506c, X506d, X506e, X506f, X506g, X506h, X506i, X506k, X506l, X506m, X506n, X506o, X506p, X506q, X506r, X506r, X506s, X506s, X506t, X506t, X506u, X506u, X506v, X506v, X701t, X701t, X701u, X701u, X701v, X701v, X701w, X701w, X7026, X7026, X7027, X7027, X7028, X7028, XaNXa, XaNXt, XaYOv, XaYOx, XaYOx</t>
    </r>
  </si>
  <si>
    <t xml:space="preserve">(2) self-reported relevant medication (data field 20003): 1141179992, 1140882694, 1140869848, 1140880086, 1140864184, 1140882782, 1140878226, 1140882618, 1140874790, 1140878378, 1140882800, 1140910884, 1140884700, 1141167140, 1140878512, 1140878498, 1140909786, 1141179982, 1140876404, 1140888092, 1140874896, 1140927730, 1140876424, 1141174032, 1140878346, 1140874930, 1140878304, 1140880092, 1140880090, 1140882910, 1140878418, 1140864346, 1140888074, 1140888172, 1141180200, 1140879902, 1140870954, 1140921024, 1140913292, 1140923732, 1141145710, 1140884696, 1140882776, 1141157294, 1141195836, 1140878328, 1140876312, 1140882852, 1140884654, 1140888176, 1141188594, 1140878510, 1140927320, 1141179846, 1140878248, 1140880264, 1140878442, 1140878504, 1140916950, 1140923728, 1140882630, 1140883828, 1141173872, 2038459888, 1140878286, 1140878426, 1140882756, 1141168374, 1141174388, 1140879942, 1140888644, 1141200878, 1140868364, 1140878244, 1140880272, 1140882542, 1140910036, 1141185986, 1141192638, 1140865734, 1140870980, 1140874336, 1140878412, 1140879906, 1140882622, 1140882794, 1140909844, 1140926988, 1141164652, 1141170844, 1141188588, 1140878488, 1140880014, 1140880102, 1140882778, 1140882904, 1140882908, 1140888142, 1140910368, 1140916270, 1140878246, 1140878450, 1140880288, 1140880306, 1140888184, 1140910058, 1140925978, 1140888628, 1140910522, 1140916948, 1141151848, 1141152236, 1141152242, 1140859220, 1140876430, 1140878252, 1140878258, 1140878348, 1140878444, 1140878446, 1140878448, 1140878506, 1140878508, 1140879926, 1140879934, 1140879940, 1140880256, 1140880460, 1140882708, 1140882818, 1140882906, 1140884640, 1140884646, 1140888178, 1140888630, 1140910382, 1141146426, 1141157402, 1141157414, 1141167744, 1141173346, 1141179842, 1141187336, 1141201130, 1140854254, 1140854432, 1140864820, 1140875538, 1140876314, 1140878266, 1140878288, 1140878416, 1140878514, 1140879928, 1140879930, 1140879938, 1140882544, 1140882806, 1140882820, 1140882918, 1140882920, 1140884704, 1140910416, 1140910424, 1140916274, 1140916276, 1141146422, 1141150430, 1141151026, 1141162940, 1141164836, 1141170768, 1141185108, 1141195844, 1141200446, 1141200880 </t>
  </si>
  <si>
    <t>rs2274976</t>
  </si>
  <si>
    <t>Zuo et al, Nat Commun 2015</t>
  </si>
  <si>
    <t>A/G</t>
  </si>
  <si>
    <t>0.79 (0.71 - 0.83)</t>
  </si>
  <si>
    <t>1.00 (0.96-1.05)</t>
  </si>
  <si>
    <t>rs5063</t>
  </si>
  <si>
    <t>0.85 (0.79 - 0.88)</t>
  </si>
  <si>
    <t>1.01 (0.97-1.05)</t>
  </si>
  <si>
    <t>rs2103876</t>
  </si>
  <si>
    <t>Stuart et al, HGG Adv 2022</t>
  </si>
  <si>
    <t>South Asian</t>
  </si>
  <si>
    <t>T/C</t>
  </si>
  <si>
    <t>1.07 (1.05-1.09)</t>
  </si>
  <si>
    <t>C/T</t>
  </si>
  <si>
    <t>1.09 (1.06-1.12)</t>
  </si>
  <si>
    <t>rs1420101</t>
  </si>
  <si>
    <t>0.88 (0.84 - 0.91)</t>
  </si>
  <si>
    <t>0.99 (0.97-1.00)</t>
  </si>
  <si>
    <t>rs143700362</t>
  </si>
  <si>
    <t>Yang et al, J Invest Dermatol 2019</t>
  </si>
  <si>
    <t>A/C</t>
  </si>
  <si>
    <t>0.03 (no CI reported)</t>
  </si>
  <si>
    <t>Variant not tested</t>
  </si>
  <si>
    <t>Previously reported variant</t>
  </si>
  <si>
    <t>Population</t>
  </si>
  <si>
    <t>EA/NEA</t>
  </si>
  <si>
    <t>Reported
OR (95% CI)</t>
  </si>
  <si>
    <t>SAS: 1.19 (1.07 - 1.31)
Transethnic: 1.11 (1.07–1.14)</t>
  </si>
  <si>
    <t>SAS: 1.21 (1.09 - 1.34)
Transethnic: 1.14 (1.09–1.19)</t>
  </si>
  <si>
    <t>Current meta-analysis
OR (95% CI)</t>
  </si>
  <si>
    <t>Chr, chromosome;  EA, effect allele; NEA non-effect allele; OR, odds ratio; CI, confidence interval.</t>
  </si>
  <si>
    <t>IKBKE, FUT2, TNFSF15, LCE3A, ERAP1, POU2F3, PRSS53</t>
  </si>
  <si>
    <t>IKBKE, FUT2, TNFSF15, ERAP1, CNTNAP1, LCE3A</t>
  </si>
  <si>
    <t>STAT3, ERAP1, SSBP4, HSD3B7, RASSF5, LYRM9, KRT18P4</t>
  </si>
  <si>
    <t>TNFSF15, LCE3A, IKBKE, ERAP1, PRSS53, FUT2, STAT3, LYRM9, FAM83E</t>
  </si>
  <si>
    <t>TNFSF15, LCE3A, IKBKE, PRSS53, ERAP1, STAT3</t>
  </si>
  <si>
    <t>TNFSF15, LCE3A, IKBKE, ERAP1, PRSS53, FUT2, STAT3</t>
  </si>
  <si>
    <t>Number of DE genes</t>
  </si>
  <si>
    <t>1p36.23</t>
  </si>
  <si>
    <t>1p36.22</t>
  </si>
  <si>
    <t>1p36.21-1p36.13 (1p36.21)</t>
  </si>
  <si>
    <t>1p36.11</t>
  </si>
  <si>
    <t>1p35.2-1p35.1 (1p35.1)</t>
  </si>
  <si>
    <t>1p31.3-1p31.1 (1p31.3)</t>
  </si>
  <si>
    <t>1p31.1</t>
  </si>
  <si>
    <t>1q21.2-1q21.3 (1q21.3)</t>
  </si>
  <si>
    <t>1q23.3</t>
  </si>
  <si>
    <t>1q24.2</t>
  </si>
  <si>
    <t>1q24.2-1q25.1 (1q24.3)</t>
  </si>
  <si>
    <t>1q31.2-1q32.1 (1q31.3)</t>
  </si>
  <si>
    <t>1q32.1-1q32.2 (1q32.1)</t>
  </si>
  <si>
    <t>2p24.1-2p23.2 (2p23.3)</t>
  </si>
  <si>
    <t>2p16.1-2p14 (2p16.1)</t>
  </si>
  <si>
    <t>2q11.2-2q12.1 (2q11.2)</t>
  </si>
  <si>
    <t>2q12.3-2q13 (2q13)</t>
  </si>
  <si>
    <t>2q24.1-2q24.3 (2q24.2)</t>
  </si>
  <si>
    <t>2q32.3-2q33.1 (2q33.1)</t>
  </si>
  <si>
    <t>2q36.3-2q37.1 (2q37.1)</t>
  </si>
  <si>
    <t>2q37.1</t>
  </si>
  <si>
    <t>2q37.3</t>
  </si>
  <si>
    <t>3p25.1-3p24.3 (3p24.3)</t>
  </si>
  <si>
    <t>3p12.3-3q12.3 (3q12.3)</t>
  </si>
  <si>
    <t>3q25.2-3q26.2 (3q25.31)</t>
  </si>
  <si>
    <t>3q27.3-3q28 (3q28)</t>
  </si>
  <si>
    <t>3q28</t>
  </si>
  <si>
    <t>3q29</t>
  </si>
  <si>
    <t>4q26-4q28.1 (4q27)</t>
  </si>
  <si>
    <t>5p13.2</t>
  </si>
  <si>
    <t>5p13.1-5q11.2 (5p13.1)</t>
  </si>
  <si>
    <t>5q11.2</t>
  </si>
  <si>
    <t>5q15</t>
  </si>
  <si>
    <t>5q23.2-5q31.1 (5q31.1)</t>
  </si>
  <si>
    <t>5q32-5q33.1 (5q33.1)</t>
  </si>
  <si>
    <t>5q33.2-5q33.3 (5q33.3)</t>
  </si>
  <si>
    <t>6p25.3</t>
  </si>
  <si>
    <t>6p22.3</t>
  </si>
  <si>
    <t>6p22.3-6p21.31 (6p21.33)</t>
  </si>
  <si>
    <t>1.78e-1524</t>
  </si>
  <si>
    <t>1.01e-934</t>
  </si>
  <si>
    <t>6q21-6q22.31 (6q21)</t>
  </si>
  <si>
    <t>6q23.3</t>
  </si>
  <si>
    <t>6q25.3</t>
  </si>
  <si>
    <t>7p21.1</t>
  </si>
  <si>
    <t>7p15.1-7p14.3 (7p14.3)</t>
  </si>
  <si>
    <t>7p14.2-7p14.1 (7p14.1)</t>
  </si>
  <si>
    <t>7q32.1-7q32.2 (7q32.1)</t>
  </si>
  <si>
    <t>8q12.1-8q12.2 (8q12.2)</t>
  </si>
  <si>
    <t>8q21.13</t>
  </si>
  <si>
    <t>8q24.13</t>
  </si>
  <si>
    <t>8q24.21</t>
  </si>
  <si>
    <t>9p21.1-9p13.2 (9p21.1)</t>
  </si>
  <si>
    <t>9q31.2-9q31.3 (9q31.2)</t>
  </si>
  <si>
    <t>9q32-9q33.1 (9q32)</t>
  </si>
  <si>
    <t>10p15.1</t>
  </si>
  <si>
    <t>10p15.1-10p14 (10p15.1)</t>
  </si>
  <si>
    <t>10q21.1-10q22.1 (10q21.2)</t>
  </si>
  <si>
    <t>10q22.1-10q22.3 (10q22.2)</t>
  </si>
  <si>
    <t>10q22.3</t>
  </si>
  <si>
    <t>10q23.1-10q23.31 (10q23.31)</t>
  </si>
  <si>
    <t>10q23.31-10q23.33 (10q23.33)</t>
  </si>
  <si>
    <t>10q24.2-10q25.1 (10q24.31)</t>
  </si>
  <si>
    <t>11p13</t>
  </si>
  <si>
    <t>11p13-11p12 (11p12)</t>
  </si>
  <si>
    <t>11q12.3-11q13.3 (11q13.1)</t>
  </si>
  <si>
    <t>11q13.3-11q13.5 (11q13.5)</t>
  </si>
  <si>
    <t>11q22.3-11q23.1 (11q22.3)</t>
  </si>
  <si>
    <t>11q23.3</t>
  </si>
  <si>
    <t>11q24.2-11q24.3 (11q24.3)</t>
  </si>
  <si>
    <t>12p13.33</t>
  </si>
  <si>
    <t>12p13.31</t>
  </si>
  <si>
    <t>12p13.2</t>
  </si>
  <si>
    <t>12q13.13-12q14.1 (12q13.3)</t>
  </si>
  <si>
    <t>12q22</t>
  </si>
  <si>
    <t>12q24.11-12q24.13 (12q24.12)</t>
  </si>
  <si>
    <t>12q24.31</t>
  </si>
  <si>
    <t>13q14.11-13q14.12 (13q14.12)</t>
  </si>
  <si>
    <t>13q14.2-13q21.2 (13q14.2)</t>
  </si>
  <si>
    <t>13q32.2-13q32.3 (13q32.3)</t>
  </si>
  <si>
    <t>14q13.1-14q13.3 (14q13.2)</t>
  </si>
  <si>
    <t>14q32.2</t>
  </si>
  <si>
    <t>14q32.33</t>
  </si>
  <si>
    <t>15q13.2-15q13.3 (15q13.3)</t>
  </si>
  <si>
    <t>15q23</t>
  </si>
  <si>
    <t>15q25.1-15q25.3 (15q25.3)</t>
  </si>
  <si>
    <t>16p13.13</t>
  </si>
  <si>
    <t>16p12.1-16q12.1 (16p11.2)</t>
  </si>
  <si>
    <t>17p13.2</t>
  </si>
  <si>
    <t>17p12-17q11.2 (17q11.2)</t>
  </si>
  <si>
    <t>17q12-17q21.33 (17q21.2)</t>
  </si>
  <si>
    <t>17q25.1-17q25.2 (17q25.1)</t>
  </si>
  <si>
    <t>17q25.3</t>
  </si>
  <si>
    <t>18p11.21</t>
  </si>
  <si>
    <t>18q21.2-18q21.31 (18q21.2)</t>
  </si>
  <si>
    <t>19p13.3</t>
  </si>
  <si>
    <t>19p13.2</t>
  </si>
  <si>
    <t>19p13.11</t>
  </si>
  <si>
    <t>19q13.11</t>
  </si>
  <si>
    <t>19q13.33</t>
  </si>
  <si>
    <t>20q13.12-20q13.13 (20q13.13)</t>
  </si>
  <si>
    <t>20q13.13</t>
  </si>
  <si>
    <t>20q13.13-20q13.2 (20q13.2)</t>
  </si>
  <si>
    <t>21q22.13-21q22.2 (21q22.2)</t>
  </si>
  <si>
    <t>22p13-22q11.1 (22q11.1)</t>
  </si>
  <si>
    <t>22q11.21</t>
  </si>
  <si>
    <t>22q11.21-22q11.22 (22q11.21)</t>
  </si>
  <si>
    <t>22q12.3</t>
  </si>
  <si>
    <r>
      <t>Chromosome band</t>
    </r>
    <r>
      <rPr>
        <b/>
        <vertAlign val="superscript"/>
        <sz val="12"/>
        <color theme="1"/>
        <rFont val="Calibri (Body)"/>
      </rPr>
      <t>a</t>
    </r>
  </si>
  <si>
    <r>
      <t>Direction</t>
    </r>
    <r>
      <rPr>
        <b/>
        <vertAlign val="superscript"/>
        <sz val="12"/>
        <color theme="1"/>
        <rFont val="Calibri (Body)"/>
      </rPr>
      <t>b</t>
    </r>
  </si>
  <si>
    <r>
      <rPr>
        <vertAlign val="superscript"/>
        <sz val="12"/>
        <color theme="1"/>
        <rFont val="Calibri (Body)"/>
      </rPr>
      <t>a</t>
    </r>
    <r>
      <rPr>
        <sz val="12"/>
        <color theme="1"/>
        <rFont val="Calibri"/>
        <family val="2"/>
        <scheme val="minor"/>
      </rPr>
      <t xml:space="preserve"> Where a locus (LD block) spans multiple chromosome bands, the band in which the lead variant is situated is indicated in parentheses.</t>
    </r>
  </si>
  <si>
    <r>
      <rPr>
        <vertAlign val="superscript"/>
        <sz val="12"/>
        <color theme="1"/>
        <rFont val="Calibri (Body)"/>
      </rPr>
      <t>b</t>
    </r>
    <r>
      <rPr>
        <sz val="12"/>
        <color theme="1"/>
        <rFont val="Calibri"/>
        <family val="2"/>
        <scheme val="minor"/>
      </rPr>
      <t xml:space="preserve"> Effect directions are listed in the following order: WTCCC2, BSTOP, Manchester, Scotland, Kiel (GSA), Erlangen, Estonia, PsA GWAS, Michigan (Exomechip), Genizon, Michigan (GSA), UCSF, CASP, Toronto (GSA), Newfoundland, HUNT, UK Biobank, Estonian Biobank. '?' indicates the variant was absent from a study.</t>
    </r>
  </si>
  <si>
    <t>Chromosme band</t>
  </si>
  <si>
    <t>13q14.11</t>
  </si>
  <si>
    <t>21q22.12</t>
  </si>
  <si>
    <t>Effect sizes reported in other populations at loci newly reported in Europeans</t>
  </si>
  <si>
    <t>Mediated expression score analysis</t>
  </si>
  <si>
    <t>Functional enrichment of TWAS gene clusters</t>
  </si>
  <si>
    <t>Mendelian randomization analysis for significant LCV traits</t>
  </si>
  <si>
    <t>Summary of previously reported non-European psoriasis loci</t>
  </si>
  <si>
    <t>Details of ethics approval, ascertainment, genotyping, quality control, genome-wide imputation, and association testing for each contributing study</t>
  </si>
  <si>
    <r>
      <t>P-value</t>
    </r>
    <r>
      <rPr>
        <b/>
        <vertAlign val="superscript"/>
        <sz val="12"/>
        <color theme="1"/>
        <rFont val="Calibri (Body)"/>
      </rPr>
      <t>c</t>
    </r>
  </si>
  <si>
    <r>
      <rPr>
        <vertAlign val="superscript"/>
        <sz val="12"/>
        <color theme="1"/>
        <rFont val="Calibri (Body)"/>
      </rPr>
      <t>c</t>
    </r>
    <r>
      <rPr>
        <sz val="12"/>
        <color theme="1"/>
        <rFont val="Calibri"/>
        <family val="2"/>
        <scheme val="minor"/>
      </rPr>
      <t xml:space="preserve"> Meta-analysis association p-values are derived from two-sided </t>
    </r>
    <r>
      <rPr>
        <i/>
        <sz val="12"/>
        <color theme="1"/>
        <rFont val="Calibri"/>
        <family val="2"/>
        <scheme val="minor"/>
      </rPr>
      <t>Z</t>
    </r>
    <r>
      <rPr>
        <sz val="12"/>
        <color theme="1"/>
        <rFont val="Calibri"/>
        <family val="2"/>
        <scheme val="minor"/>
      </rPr>
      <t>-tests unadjusted for multiple tests</t>
    </r>
  </si>
  <si>
    <r>
      <t>P-value</t>
    </r>
    <r>
      <rPr>
        <b/>
        <vertAlign val="superscript"/>
        <sz val="12"/>
        <color rgb="FF000000"/>
        <rFont val="Calibri"/>
        <family val="2"/>
        <scheme val="minor"/>
      </rPr>
      <t>c</t>
    </r>
  </si>
  <si>
    <r>
      <rPr>
        <vertAlign val="superscript"/>
        <sz val="12"/>
        <color theme="1"/>
        <rFont val="Calibri (Body)"/>
      </rPr>
      <t>d</t>
    </r>
    <r>
      <rPr>
        <sz val="12"/>
        <color theme="1"/>
        <rFont val="Calibri"/>
        <family val="2"/>
        <scheme val="minor"/>
      </rPr>
      <t xml:space="preserve"> Heterogeneity p-values are derived from Cochran's </t>
    </r>
    <r>
      <rPr>
        <i/>
        <sz val="12"/>
        <color theme="1"/>
        <rFont val="Calibri"/>
        <family val="2"/>
        <scheme val="minor"/>
      </rPr>
      <t>Q</t>
    </r>
    <r>
      <rPr>
        <sz val="12"/>
        <color theme="1"/>
        <rFont val="Calibri"/>
        <family val="2"/>
        <scheme val="minor"/>
      </rPr>
      <t>-test for heterogeneity</t>
    </r>
  </si>
  <si>
    <r>
      <t>Het. P</t>
    </r>
    <r>
      <rPr>
        <b/>
        <vertAlign val="superscript"/>
        <sz val="12"/>
        <color theme="1"/>
        <rFont val="Calibri (Body)"/>
      </rPr>
      <t>d</t>
    </r>
  </si>
  <si>
    <r>
      <t xml:space="preserve">Het. </t>
    </r>
    <r>
      <rPr>
        <b/>
        <i/>
        <sz val="12"/>
        <color theme="1"/>
        <rFont val="Calibri"/>
        <family val="2"/>
        <scheme val="minor"/>
      </rPr>
      <t>I</t>
    </r>
    <r>
      <rPr>
        <b/>
        <vertAlign val="superscript"/>
        <sz val="12"/>
        <color theme="1"/>
        <rFont val="Calibri (Body)"/>
      </rPr>
      <t>2</t>
    </r>
  </si>
  <si>
    <r>
      <t>Established psoriasis
loci in Europeans</t>
    </r>
    <r>
      <rPr>
        <b/>
        <vertAlign val="superscript"/>
        <sz val="12"/>
        <color theme="1"/>
        <rFont val="Calibri (Body)"/>
      </rPr>
      <t>e</t>
    </r>
  </si>
  <si>
    <r>
      <t>Other reports at
genome-wide significance for psoriasis</t>
    </r>
    <r>
      <rPr>
        <b/>
        <vertAlign val="superscript"/>
        <sz val="12"/>
        <color theme="1"/>
        <rFont val="Calibri (Body)"/>
      </rPr>
      <t>f</t>
    </r>
  </si>
  <si>
    <r>
      <rPr>
        <vertAlign val="superscript"/>
        <sz val="12"/>
        <color theme="1"/>
        <rFont val="Calibri (Body)"/>
      </rPr>
      <t>e</t>
    </r>
    <r>
      <rPr>
        <sz val="12"/>
        <color theme="1"/>
        <rFont val="Calibri"/>
        <family val="2"/>
        <scheme val="minor"/>
      </rPr>
      <t xml:space="preserve"> Correspond to 65 previously reported psoriasis loci reported collectively in Tsoi et al Nat Commun 2017, Dand et al Hum Mol Genet 2017 and Patrick et al Nat Commun 2018. We find in some cases that multiple previously reported loci map to the same LD block here.</t>
    </r>
  </si>
  <si>
    <r>
      <rPr>
        <vertAlign val="superscript"/>
        <sz val="12"/>
        <color theme="1"/>
        <rFont val="Calibri (Body)"/>
      </rPr>
      <t>f</t>
    </r>
    <r>
      <rPr>
        <sz val="12"/>
        <color theme="1"/>
        <rFont val="Calibri"/>
        <family val="2"/>
        <scheme val="minor"/>
      </rPr>
      <t xml:space="preserve"> Other previous reports of genome-wide significant associations within an LD block (for example in non-European populations) - only populated for LD blocks with no established psoriasis loci in Europeans.</t>
    </r>
  </si>
  <si>
    <r>
      <t xml:space="preserve">Chr, chromosome; EA, effect allele; NEA non-effect allele; OR, odds ratio; P, meta-analysis p-value (two-sided </t>
    </r>
    <r>
      <rPr>
        <i/>
        <sz val="12"/>
        <rFont val="Calibri"/>
        <family val="2"/>
        <scheme val="minor"/>
      </rPr>
      <t>Z</t>
    </r>
    <r>
      <rPr>
        <sz val="12"/>
        <rFont val="Calibri"/>
        <family val="2"/>
        <scheme val="minor"/>
      </rPr>
      <t>-test, unadjusted for multiple tests).</t>
    </r>
  </si>
  <si>
    <r>
      <rPr>
        <vertAlign val="superscript"/>
        <sz val="12"/>
        <color theme="1"/>
        <rFont val="Calibri (Body)"/>
      </rPr>
      <t>a</t>
    </r>
    <r>
      <rPr>
        <sz val="12"/>
        <color theme="1"/>
        <rFont val="Calibri"/>
        <family val="2"/>
        <scheme val="minor"/>
      </rPr>
      <t xml:space="preserve"> Meta-analysis association p-values are derived from two-sided </t>
    </r>
    <r>
      <rPr>
        <i/>
        <sz val="12"/>
        <color theme="1"/>
        <rFont val="Calibri"/>
        <family val="2"/>
        <scheme val="minor"/>
      </rPr>
      <t>Z</t>
    </r>
    <r>
      <rPr>
        <sz val="12"/>
        <color theme="1"/>
        <rFont val="Calibri"/>
        <family val="2"/>
        <scheme val="minor"/>
      </rPr>
      <t>-tests unadjusted for multiple tests</t>
    </r>
  </si>
  <si>
    <r>
      <rPr>
        <vertAlign val="superscript"/>
        <sz val="12"/>
        <color theme="1"/>
        <rFont val="Calibri (Body)"/>
      </rPr>
      <t>b</t>
    </r>
    <r>
      <rPr>
        <sz val="12"/>
        <color theme="1"/>
        <rFont val="Calibri"/>
        <family val="2"/>
        <scheme val="minor"/>
      </rPr>
      <t xml:space="preserve"> Signals not falling within a gene body (between transcript start and end) are reported as distance from transcription start site of up- and down-stream genes</t>
    </r>
  </si>
  <si>
    <r>
      <rPr>
        <vertAlign val="superscript"/>
        <sz val="12"/>
        <color theme="1"/>
        <rFont val="Calibri (Body)"/>
      </rPr>
      <t>c</t>
    </r>
    <r>
      <rPr>
        <sz val="12"/>
        <color theme="1"/>
        <rFont val="Calibri"/>
        <family val="2"/>
        <scheme val="minor"/>
      </rPr>
      <t xml:space="preserve"> Distance measured from association signal lead variant to transcription start site</t>
    </r>
  </si>
  <si>
    <r>
      <t>P-value</t>
    </r>
    <r>
      <rPr>
        <b/>
        <vertAlign val="superscript"/>
        <sz val="12"/>
        <color theme="1"/>
        <rFont val="Calibri (Body)"/>
      </rPr>
      <t>a</t>
    </r>
  </si>
  <si>
    <r>
      <t>Closest protein-coding</t>
    </r>
    <r>
      <rPr>
        <b/>
        <vertAlign val="superscript"/>
        <sz val="12"/>
        <color theme="1"/>
        <rFont val="Calibri (Body)"/>
      </rPr>
      <t>b</t>
    </r>
  </si>
  <si>
    <r>
      <t>All protein-coding within 250kb</t>
    </r>
    <r>
      <rPr>
        <b/>
        <vertAlign val="superscript"/>
        <sz val="12"/>
        <color theme="1"/>
        <rFont val="Calibri (Body)"/>
      </rPr>
      <t>c</t>
    </r>
  </si>
  <si>
    <r>
      <t>Current meta-analysis
P-value</t>
    </r>
    <r>
      <rPr>
        <b/>
        <vertAlign val="superscript"/>
        <sz val="12"/>
        <color theme="1"/>
        <rFont val="Calibri (Body)"/>
      </rPr>
      <t>a</t>
    </r>
  </si>
  <si>
    <r>
      <rPr>
        <vertAlign val="superscript"/>
        <sz val="12"/>
        <rFont val="Calibri (Body)"/>
      </rPr>
      <t>b</t>
    </r>
    <r>
      <rPr>
        <sz val="12"/>
        <rFont val="Calibri"/>
        <family val="2"/>
        <scheme val="minor"/>
      </rPr>
      <t xml:space="preserve"> P-value is for post-hoc two-sided Mann-Whitney U test in which variants in the given BCS category are compared against all other variants</t>
    </r>
  </si>
  <si>
    <r>
      <rPr>
        <vertAlign val="superscript"/>
        <sz val="12"/>
        <rFont val="Calibri (Body)"/>
      </rPr>
      <t>c</t>
    </r>
    <r>
      <rPr>
        <sz val="12"/>
        <rFont val="Calibri"/>
        <family val="2"/>
        <scheme val="minor"/>
      </rPr>
      <t xml:space="preserve"> P-value adjusted for seven BCS categories (Bonferroni correction)</t>
    </r>
  </si>
  <si>
    <r>
      <t>Excludes genes in extended MHC region. Chr., chromosome; n.s., not significant at transcriptome-wide significance threshold (</t>
    </r>
    <r>
      <rPr>
        <i/>
        <sz val="12"/>
        <color theme="1"/>
        <rFont val="Calibri"/>
        <family val="2"/>
        <scheme val="minor"/>
      </rPr>
      <t>P</t>
    </r>
    <r>
      <rPr>
        <sz val="12"/>
        <color theme="1"/>
        <rFont val="Calibri"/>
        <family val="2"/>
        <scheme val="minor"/>
      </rPr>
      <t>&lt;2.2e-6). Light/dark banding is for visual clarity.</t>
    </r>
  </si>
  <si>
    <r>
      <rPr>
        <vertAlign val="superscript"/>
        <sz val="12"/>
        <color theme="1"/>
        <rFont val="Calibri (Body)"/>
      </rPr>
      <t>a</t>
    </r>
    <r>
      <rPr>
        <sz val="12"/>
        <color theme="1"/>
        <rFont val="Calibri"/>
        <family val="2"/>
        <scheme val="minor"/>
      </rPr>
      <t xml:space="preserve"> TWAS p-values are derived from two-sided </t>
    </r>
    <r>
      <rPr>
        <i/>
        <sz val="12"/>
        <color theme="1"/>
        <rFont val="Calibri"/>
        <family val="2"/>
        <scheme val="minor"/>
      </rPr>
      <t>Z</t>
    </r>
    <r>
      <rPr>
        <sz val="12"/>
        <color theme="1"/>
        <rFont val="Calibri"/>
        <family val="2"/>
        <scheme val="minor"/>
      </rPr>
      <t>-tests, unadjusted for multiple tests.</t>
    </r>
  </si>
  <si>
    <r>
      <t xml:space="preserve">region # </t>
    </r>
    <r>
      <rPr>
        <b/>
        <vertAlign val="superscript"/>
        <sz val="12"/>
        <color theme="1"/>
        <rFont val="Calibri (Body)"/>
      </rPr>
      <t>b</t>
    </r>
  </si>
  <si>
    <r>
      <rPr>
        <b/>
        <sz val="12"/>
        <color theme="1"/>
        <rFont val="Calibri (Body)"/>
      </rPr>
      <t>psoriasis gene?</t>
    </r>
    <r>
      <rPr>
        <b/>
        <vertAlign val="superscript"/>
        <sz val="12"/>
        <color theme="1"/>
        <rFont val="Calibri"/>
        <family val="2"/>
        <scheme val="minor"/>
      </rPr>
      <t>c</t>
    </r>
  </si>
  <si>
    <r>
      <rPr>
        <vertAlign val="superscript"/>
        <sz val="12"/>
        <color theme="1"/>
        <rFont val="Calibri (Body)"/>
      </rPr>
      <t>c</t>
    </r>
    <r>
      <rPr>
        <sz val="12"/>
        <color theme="1"/>
        <rFont val="Calibri"/>
        <family val="2"/>
        <scheme val="minor"/>
      </rPr>
      <t xml:space="preserve"> Indicates the gene has been previously highlighted as a potential psoriasis gene (c.f. Stuart, P. E., Tsoi, L. C., Hambro, C. A. &amp; Elder, J. T. Genetics of psoriasis. In Oxford Textbook of Psoriatic Arthritis (eds FitzGerald, O. &amp; Gladman, D.) (Oxford University Press, 2018))</t>
    </r>
  </si>
  <si>
    <r>
      <t>P-value</t>
    </r>
    <r>
      <rPr>
        <vertAlign val="superscript"/>
        <sz val="12"/>
        <color theme="1"/>
        <rFont val="Calibri (Body)"/>
      </rPr>
      <t>a</t>
    </r>
  </si>
  <si>
    <r>
      <rPr>
        <vertAlign val="superscript"/>
        <sz val="12"/>
        <color theme="1"/>
        <rFont val="Calibri (Body)"/>
      </rPr>
      <t>a</t>
    </r>
    <r>
      <rPr>
        <sz val="12"/>
        <color theme="1"/>
        <rFont val="Calibri"/>
        <family val="2"/>
        <scheme val="minor"/>
      </rPr>
      <t xml:space="preserve"> Nominal enrichment p-values from DEPICT, based on an empirically derived bias-adjusted </t>
    </r>
    <r>
      <rPr>
        <i/>
        <sz val="12"/>
        <color theme="1"/>
        <rFont val="Calibri"/>
        <family val="2"/>
        <scheme val="minor"/>
      </rPr>
      <t>Z</t>
    </r>
    <r>
      <rPr>
        <sz val="12"/>
        <color theme="1"/>
        <rFont val="Calibri"/>
        <family val="2"/>
        <scheme val="minor"/>
      </rPr>
      <t xml:space="preserve">-score as described in Pers </t>
    </r>
    <r>
      <rPr>
        <i/>
        <sz val="12"/>
        <color theme="1"/>
        <rFont val="Calibri"/>
        <family val="2"/>
        <scheme val="minor"/>
      </rPr>
      <t>et al</t>
    </r>
    <r>
      <rPr>
        <sz val="12"/>
        <color theme="1"/>
        <rFont val="Calibri"/>
        <family val="2"/>
        <scheme val="minor"/>
      </rPr>
      <t xml:space="preserve">, </t>
    </r>
    <r>
      <rPr>
        <i/>
        <sz val="12"/>
        <color theme="1"/>
        <rFont val="Calibri"/>
        <family val="2"/>
        <scheme val="minor"/>
      </rPr>
      <t>Nat Commun</t>
    </r>
    <r>
      <rPr>
        <sz val="12"/>
        <color theme="1"/>
        <rFont val="Calibri"/>
        <family val="2"/>
        <scheme val="minor"/>
      </rPr>
      <t xml:space="preserve"> 2015 (null hypothesis: genes in associated loci do not enrich for the reconstituted gene set)</t>
    </r>
  </si>
  <si>
    <r>
      <t>Top five enriched MSigDB genesets representing GO Biological Processes ("GOBP") or Human Phenotype Ontology terms ("HP") for each TWAS gene cluster. Ranked by: (1) overlap size, (2) hypergeometric test p-value (P</t>
    </r>
    <r>
      <rPr>
        <vertAlign val="subscript"/>
        <sz val="12"/>
        <color theme="1"/>
        <rFont val="Calibri (Body)"/>
      </rPr>
      <t>hyper</t>
    </r>
    <r>
      <rPr>
        <sz val="12"/>
        <color theme="1"/>
        <rFont val="Calibri (Body)"/>
      </rPr>
      <t>, one-sided hypergeometric test</t>
    </r>
    <r>
      <rPr>
        <sz val="12"/>
        <color theme="1"/>
        <rFont val="Calibri"/>
        <family val="2"/>
        <scheme val="minor"/>
      </rPr>
      <t>)</t>
    </r>
  </si>
  <si>
    <r>
      <rPr>
        <vertAlign val="superscript"/>
        <sz val="12"/>
        <color theme="1"/>
        <rFont val="Calibri (Body)"/>
      </rPr>
      <t>a</t>
    </r>
    <r>
      <rPr>
        <sz val="12"/>
        <color theme="1"/>
        <rFont val="Calibri"/>
        <family val="2"/>
        <scheme val="minor"/>
      </rPr>
      <t xml:space="preserve"> P-value derived from one-sided hypergeometric test, unadjusted</t>
    </r>
  </si>
  <si>
    <r>
      <t>Heritability (h</t>
    </r>
    <r>
      <rPr>
        <b/>
        <vertAlign val="superscript"/>
        <sz val="12"/>
        <color theme="1"/>
        <rFont val="Calibri"/>
        <family val="2"/>
        <scheme val="minor"/>
      </rPr>
      <t>2</t>
    </r>
    <r>
      <rPr>
        <b/>
        <sz val="12"/>
        <color theme="1"/>
        <rFont val="Calibri"/>
        <family val="2"/>
        <scheme val="minor"/>
      </rPr>
      <t>)</t>
    </r>
    <r>
      <rPr>
        <b/>
        <vertAlign val="superscript"/>
        <sz val="12"/>
        <color theme="1"/>
        <rFont val="Calibri"/>
        <family val="2"/>
        <scheme val="minor"/>
      </rPr>
      <t>b</t>
    </r>
  </si>
  <si>
    <r>
      <t>Significant genetic correlation</t>
    </r>
    <r>
      <rPr>
        <b/>
        <vertAlign val="superscript"/>
        <sz val="12"/>
        <color theme="1"/>
        <rFont val="Calibri"/>
        <family val="2"/>
        <scheme val="minor"/>
      </rPr>
      <t>c</t>
    </r>
  </si>
  <si>
    <r>
      <t>Significant and trait heritable</t>
    </r>
    <r>
      <rPr>
        <b/>
        <vertAlign val="superscript"/>
        <sz val="12"/>
        <color theme="1"/>
        <rFont val="Calibri"/>
        <family val="2"/>
        <scheme val="minor"/>
      </rPr>
      <t>d</t>
    </r>
  </si>
  <si>
    <r>
      <rPr>
        <vertAlign val="superscript"/>
        <sz val="12"/>
        <rFont val="Calibri (Body)"/>
      </rPr>
      <t>a</t>
    </r>
    <r>
      <rPr>
        <sz val="12"/>
        <rFont val="Calibri"/>
        <family val="2"/>
        <scheme val="minor"/>
      </rPr>
      <t xml:space="preserve"> P-value derived from two-sided Z-test; null-hypothesis: genetic correlation = 0</t>
    </r>
  </si>
  <si>
    <r>
      <rPr>
        <vertAlign val="superscript"/>
        <sz val="12"/>
        <rFont val="Calibri (Body)"/>
      </rPr>
      <t>b</t>
    </r>
    <r>
      <rPr>
        <sz val="12"/>
        <rFont val="Calibri"/>
        <family val="2"/>
        <scheme val="minor"/>
      </rPr>
      <t xml:space="preserve"> Estimated observed scale heritability</t>
    </r>
  </si>
  <si>
    <r>
      <rPr>
        <vertAlign val="superscript"/>
        <sz val="12"/>
        <rFont val="Calibri (Body)"/>
      </rPr>
      <t>c</t>
    </r>
    <r>
      <rPr>
        <sz val="12"/>
        <rFont val="Calibri"/>
        <family val="2"/>
        <scheme val="minor"/>
      </rPr>
      <t xml:space="preserve"> Significant r</t>
    </r>
    <r>
      <rPr>
        <vertAlign val="subscript"/>
        <sz val="12"/>
        <rFont val="Calibri (Body)"/>
      </rPr>
      <t>g</t>
    </r>
    <r>
      <rPr>
        <sz val="12"/>
        <rFont val="Calibri"/>
        <family val="2"/>
        <scheme val="minor"/>
      </rPr>
      <t xml:space="preserve"> p-value based on Bonferroni correction (P&lt;8.4×10</t>
    </r>
    <r>
      <rPr>
        <vertAlign val="superscript"/>
        <sz val="12"/>
        <rFont val="Calibri (Body)"/>
      </rPr>
      <t>-5</t>
    </r>
    <r>
      <rPr>
        <sz val="12"/>
        <rFont val="Calibri"/>
        <family val="2"/>
        <scheme val="minor"/>
      </rPr>
      <t>).</t>
    </r>
  </si>
  <si>
    <r>
      <rPr>
        <vertAlign val="superscript"/>
        <sz val="12"/>
        <rFont val="Calibri (Body)"/>
      </rPr>
      <t>d</t>
    </r>
    <r>
      <rPr>
        <sz val="12"/>
        <rFont val="Calibri"/>
        <family val="2"/>
        <scheme val="minor"/>
      </rPr>
      <t xml:space="preserve"> Significant r</t>
    </r>
    <r>
      <rPr>
        <vertAlign val="subscript"/>
        <sz val="12"/>
        <rFont val="Calibri (Body)"/>
      </rPr>
      <t>g</t>
    </r>
    <r>
      <rPr>
        <sz val="12"/>
        <rFont val="Calibri"/>
        <family val="2"/>
        <scheme val="minor"/>
      </rPr>
      <t xml:space="preserve"> p-value and non-psoriasis phenotype significantly heritable (z-score |z|&gt;4).</t>
    </r>
  </si>
  <si>
    <r>
      <t>P-value</t>
    </r>
    <r>
      <rPr>
        <b/>
        <vertAlign val="superscript"/>
        <sz val="12"/>
        <color theme="1"/>
        <rFont val="Calibri (Body)"/>
      </rPr>
      <t>b</t>
    </r>
  </si>
  <si>
    <r>
      <t>GCP
FDR&lt;0.05</t>
    </r>
    <r>
      <rPr>
        <b/>
        <vertAlign val="superscript"/>
        <sz val="12"/>
        <rFont val="Calibri (Body)"/>
      </rPr>
      <t>c</t>
    </r>
  </si>
  <si>
    <r>
      <rPr>
        <vertAlign val="superscript"/>
        <sz val="12"/>
        <rFont val="Calibri (Body)"/>
      </rPr>
      <t>c</t>
    </r>
    <r>
      <rPr>
        <sz val="12"/>
        <rFont val="Calibri"/>
        <family val="2"/>
        <scheme val="minor"/>
      </rPr>
      <t xml:space="preserve"> false discovery rate for GCP is estimated based on n=108 traits.</t>
    </r>
  </si>
  <si>
    <r>
      <rPr>
        <vertAlign val="superscript"/>
        <sz val="12"/>
        <rFont val="Calibri (Body)"/>
      </rPr>
      <t>b</t>
    </r>
    <r>
      <rPr>
        <sz val="12"/>
        <rFont val="Calibri"/>
        <family val="2"/>
        <scheme val="minor"/>
      </rPr>
      <t xml:space="preserve"> P-values derived from two-sided Z-test</t>
    </r>
  </si>
  <si>
    <r>
      <t>MR p-value</t>
    </r>
    <r>
      <rPr>
        <vertAlign val="superscript"/>
        <sz val="12"/>
        <color theme="1"/>
        <rFont val="Calibri (Body)"/>
      </rPr>
      <t>a</t>
    </r>
  </si>
  <si>
    <r>
      <rPr>
        <vertAlign val="superscript"/>
        <sz val="12"/>
        <color theme="1"/>
        <rFont val="Calibri (Body)"/>
      </rPr>
      <t>a</t>
    </r>
    <r>
      <rPr>
        <sz val="12"/>
        <color theme="1"/>
        <rFont val="Calibri"/>
        <family val="2"/>
        <scheme val="minor"/>
      </rPr>
      <t xml:space="preserve"> P-value derived from Wald test (in inverse-variance weighted fixed-effect meta-analysis form for traits with &gt;1 significant SNP)</t>
    </r>
  </si>
  <si>
    <r>
      <t>Reported p-value</t>
    </r>
    <r>
      <rPr>
        <b/>
        <vertAlign val="superscript"/>
        <sz val="12"/>
        <color theme="1"/>
        <rFont val="Calibri (Body)"/>
      </rPr>
      <t>a</t>
    </r>
  </si>
  <si>
    <r>
      <t>Lowest meta-analysis
p-value within 500kb</t>
    </r>
    <r>
      <rPr>
        <b/>
        <vertAlign val="superscript"/>
        <sz val="12"/>
        <color theme="1"/>
        <rFont val="Calibri (Body)"/>
      </rPr>
      <t>b</t>
    </r>
  </si>
  <si>
    <r>
      <rPr>
        <vertAlign val="superscript"/>
        <sz val="12"/>
        <color theme="1"/>
        <rFont val="Calibri (Body)"/>
      </rPr>
      <t>a</t>
    </r>
    <r>
      <rPr>
        <sz val="12"/>
        <color theme="1"/>
        <rFont val="Calibri"/>
        <family val="2"/>
        <scheme val="minor"/>
      </rPr>
      <t xml:space="preserve"> See primary studies for details of association testing methods</t>
    </r>
  </si>
  <si>
    <r>
      <rPr>
        <vertAlign val="superscript"/>
        <sz val="12"/>
        <color theme="1"/>
        <rFont val="Calibri (Body)"/>
      </rPr>
      <t>b</t>
    </r>
    <r>
      <rPr>
        <sz val="12"/>
        <color theme="1"/>
        <rFont val="Calibri"/>
        <family val="2"/>
        <scheme val="minor"/>
      </rPr>
      <t xml:space="preserve"> Meta-analysis association p-values are derived from two-sided </t>
    </r>
    <r>
      <rPr>
        <i/>
        <sz val="12"/>
        <color theme="1"/>
        <rFont val="Calibri"/>
        <family val="2"/>
        <scheme val="minor"/>
      </rPr>
      <t>Z</t>
    </r>
    <r>
      <rPr>
        <sz val="12"/>
        <color theme="1"/>
        <rFont val="Calibri"/>
        <family val="2"/>
        <scheme val="minor"/>
      </rPr>
      <t>-tests unadjusted for multiple tests</t>
    </r>
  </si>
  <si>
    <t>Cases: BSTOP study, via UK hospital dermatology centres. Includes patients aged 16+ with chronic plaque psoriasis and started a course of systemic therapy (implies moderate-severe disease).
Controls: English Longitudinal Study of Ageing. Drawn from English population aged 50+</t>
  </si>
  <si>
    <t>Cases: Psoriasis cases in these cohorts were dermatologist-diagnosed
Controls: Controls were identified in the participating institutes</t>
  </si>
  <si>
    <t>Cases: Cases with psoriasis vulgaris and psoriatic arthritis were diagnosed by board-certified dermatologists and rheumatologists mainly at university hospitals in Germany [Löhr et al. Br J Dermatol 2016].
Controls: Controls were from the population based study Heinz-Nixdorf-Recall. The Heinz Nixdorf Recall (Risk Factors, Evaluation of Coronary Calcification, and Lifestyle) study is a prospective population based cohort study.  The rationale and design of the study were described elsewhere [Schmermund et al. Am Heart J 2002]. A random sample derived from mandatory citizen registries of three large cities (Bochum, Essen, Mülheim/Ruhr) in an urban region in the western part of Germany was used to recruit 4814 women and men aged 45–75 years. Baseline examination took place from 2000 to 2003 and the baseline response proportion was 55.8% .</t>
  </si>
  <si>
    <t xml:space="preserve">Cases: Psoriasis patients with clear clinical diagnosis were recruited at the Department of Dermatology, University of Tartu. 
Controls: Controls were recruited from medical students, health care personnel and patients presenting with mild expression of either facial teleangiectasis or skin tags at the Department of Dermatology, University of Tartu. </t>
  </si>
  <si>
    <t>Cases: The following ICD-10 codes were used to define psoriasis cases: L40 with subtypes, M07.0, M07.2, M07.3, M09.0.
Controls: Individuals from Estonian Biobank without any ICD code refering to psoriasis.</t>
  </si>
  <si>
    <t>Cases and controls were drawn from the Trøndelag Health Study (HUNT) [Krokstad et al, Int J Epidemiol (2013); PMID: 22879362]
Cases: The following ICD-9, ICD-10 and ICPC2 codes were used to define psoriasis cases: ICD-9 696.0 or 696.1, ICD-10 L40, ICPC2 S91.   
Controls: Those who not reported to have psoriasis (answered no on the question “Have you, or have you had, psoriasis” in HUNT3 or did not answer the question),  and did not have any of the listed codes above in the HUNT Study served as controls.</t>
  </si>
  <si>
    <t>Cases: Psoriasis cases in these cohorts were dermatologist-diagnosed.
Controls: Controls were identified in the participating institutes.</t>
  </si>
  <si>
    <t>Cases: Psoriatic arthritis (PsA) patients recruited from rheumatology centres in the UK, Ireland, Switzerland (including the Swiss Clinical Quality Management registry (SCQM); https://www.scqm.ch/en/) and Australia. Diagnosis by the CASPAR criteria or rheumatologist. For full details of sample collection, see Soomro et al, Arthritis Rhematol (2022) [PMID: 35507331]
Controls: Understanding Society - The UK Household Longitudinal Study</t>
  </si>
  <si>
    <t xml:space="preserve">Cases: All psoriais cases were diagnosed by a dermatologist (Dr. Wayne Gulliver) 
Controls: All healthy controls were selected from the local Newfoundland poupulation. </t>
  </si>
  <si>
    <t>Cases: Psoriatic arthritis cases in these cohorts were rheumatologist-diagnosed
Controls: Controls were identified in the participating institutes</t>
  </si>
  <si>
    <t>Cases: Patient and control cohorts were assembled using the Tayside GoShare dataset (www.goshare, org. uk; detailed in Nititham 2018, doi.org/10.1111/exd.13761). Patients in the cohort were identified by linkage to the Tayside Dermabase database, which includes psoriasis patients with a confirmed consultant-led diagnosis. 
Controls:  Control samples were randomly selected from the GoShare database after matching for age and gender and exclusion of coded autoimmune disease.</t>
  </si>
  <si>
    <t>Cases: Subjects recruited from the dermatology clinics at UCSF with the diagnosis of psoriasis confirmed by a board-certified dermatologist.
Controls: Healthy subjects with no history of immune-mediated or autoimmune disease.</t>
  </si>
  <si>
    <t>Study participants responded to invitation to all &gt;9 million people registered in UK National Health Service and aged 40-69 during recruitment period (2006-10).
Cases: Include an indication of psoriasis or psoriatic arthritis from at least two of the following four data types: (1) self-reported psoriasis; (2) self-reported relevant medication; (3) linked "hospital episode statistics" diagnosis; (4) linked primary care diagnosis. A full list of codes used are given in the table footnote.
Controls: No indication of psoriasis or psoriatic arthritis from any of the four data types above.</t>
  </si>
  <si>
    <t>Cases: 4800
Controls: 7412</t>
  </si>
  <si>
    <t>Cases: 1,409
Controls: 1,436</t>
  </si>
  <si>
    <t>Cases: 2728
Controls: 4349</t>
  </si>
  <si>
    <t>Cases: 568
Controls: 399</t>
  </si>
  <si>
    <t>Cases: 5635
Controls: 45763</t>
  </si>
  <si>
    <t>Cases: 762
Controls: 994</t>
  </si>
  <si>
    <t>Cases: 5156
Controls: 99769</t>
  </si>
  <si>
    <t>Cases: 1485
Controls: 4680</t>
  </si>
  <si>
    <t>Cases: 3875
Controls: 9944</t>
  </si>
  <si>
    <t>Cases: 6,463
Controls: 6,096</t>
  </si>
  <si>
    <t>Cases: 514
Controls: 350</t>
  </si>
  <si>
    <t>Cases: 579
Controls: 416</t>
  </si>
  <si>
    <t>Cases: 1,526
Controls: 1,508</t>
  </si>
  <si>
    <t>Cases: 547
Controls: 787</t>
  </si>
  <si>
    <t>Cases: 748
Controls: 163</t>
  </si>
  <si>
    <t>Cases: 488
Controls: 846</t>
  </si>
  <si>
    <t>Cases: 2,735
Controls: 5,175</t>
  </si>
  <si>
    <t>Cases: Illumina HumanOmniExpressExome-8 v1.2, v1.3 and v1.6
Controls: Illumina HumanOmni2.5-4v1 and HumanOmni2.5-8v1.3</t>
  </si>
  <si>
    <t>Cases: Illumina HumanCoreExome-24-v1.1, Infinium CoreExome-24v1.1 and v1.2
Controls: Illumina HumanCoreExome-12-v1.1</t>
  </si>
  <si>
    <t>Cases: 3864
Controls: 6900</t>
  </si>
  <si>
    <t>Cases: 1328
Controls: 1366</t>
  </si>
  <si>
    <t>Cases: 2646
Controls: 4159</t>
  </si>
  <si>
    <t>Cases: 520
Controls: 379</t>
  </si>
  <si>
    <t>Cases: 5109
Controls: 31503</t>
  </si>
  <si>
    <t>Cases: 760
Controls: 993</t>
  </si>
  <si>
    <t>Cases: 4002
Controls: 64048</t>
  </si>
  <si>
    <t>Cases: 1262
Controls: 4218</t>
  </si>
  <si>
    <t>Cases: 3517
Controls: 9141</t>
  </si>
  <si>
    <t>Cases: 3721
Controls: 4016</t>
  </si>
  <si>
    <t>Cases: 470
Controls: 317</t>
  </si>
  <si>
    <t>Cases: 335
Controls: 205</t>
  </si>
  <si>
    <t>Cases: 1427
Controls: 1403</t>
  </si>
  <si>
    <t>Cases: 509
Controls: 753</t>
  </si>
  <si>
    <t>Cases: 421
Controls: 827</t>
  </si>
  <si>
    <t>Cases: 3649
Controls: 322519</t>
  </si>
  <si>
    <t>Cases: 2178
Controls: 5168</t>
  </si>
  <si>
    <r>
      <t>SNPs were called with Affymetrix Power Tools v 1.18.0. Default filters for Axiom UKB platform when calling genotypes: Call rate &lt;97%; Dish QC &lt;82%.
786,264 markers were called o</t>
    </r>
    <r>
      <rPr>
        <sz val="12"/>
        <rFont val="Calibri"/>
        <family val="2"/>
        <scheme val="minor"/>
      </rPr>
      <t xml:space="preserve">n </t>
    </r>
    <r>
      <rPr>
        <sz val="12"/>
        <rFont val="Calibri (Body)"/>
      </rPr>
      <t>1330</t>
    </r>
    <r>
      <rPr>
        <sz val="12"/>
        <rFont val="Calibri"/>
        <family val="2"/>
        <scheme val="minor"/>
      </rPr>
      <t xml:space="preserve"> indi</t>
    </r>
    <r>
      <rPr>
        <sz val="12"/>
        <color theme="1"/>
        <rFont val="Calibri"/>
        <family val="2"/>
        <scheme val="minor"/>
      </rPr>
      <t>viduals. After extracting only the markers with an rsID available, 746,668 markers remained. Missingness filters were then applied an</t>
    </r>
    <r>
      <rPr>
        <sz val="12"/>
        <rFont val="Calibri"/>
        <family val="2"/>
        <scheme val="minor"/>
      </rPr>
      <t xml:space="preserve">d </t>
    </r>
    <r>
      <rPr>
        <sz val="12"/>
        <rFont val="Calibri (Body)"/>
      </rPr>
      <t xml:space="preserve">SNPs/samples </t>
    </r>
    <r>
      <rPr>
        <sz val="12"/>
        <color theme="1"/>
        <rFont val="Calibri"/>
        <family val="2"/>
        <scheme val="minor"/>
      </rPr>
      <t>were removed at the following thresholds:
(1) SNPs missing &gt;0.2
(2) individuals missing &gt;0.05 of genotypes
(3) SNPs missing &gt;0.05
(4) SNPs where the controls had a hardy-weinberg equilibrium p-value &lt;0.001 (n=3724)
(5) samples with high inbreeding coefficient (|F|&gt; 0.03).
We then performed an identity-by-descent (IBD) test which picked up 9 genetic duplicates and 17 first-degree relatives.  The individual missing the most genotype data from each of the 26 pairs was excluded in the final dataset of 1304 individuals (n = 534 patients, n = 770 controls).
We performed PCA using an LD-pruned dataset (r2&gt;0.2 filtered out) consisting of 311k SNPs. Ancestry outliers were excluded at a threshold of sigma 6.</t>
    </r>
  </si>
  <si>
    <r>
      <t>Pre-imputation quality control included checks for strand alignment checks against the reference panel</t>
    </r>
    <r>
      <rPr>
        <sz val="12"/>
        <rFont val="Calibri"/>
        <family val="2"/>
        <scheme val="minor"/>
      </rPr>
      <t>. 2x g</t>
    </r>
    <r>
      <rPr>
        <sz val="12"/>
        <rFont val="Calibri (Body)"/>
      </rPr>
      <t xml:space="preserve">enome-wide imputation </t>
    </r>
    <r>
      <rPr>
        <sz val="12"/>
        <rFont val="Calibri"/>
        <family val="2"/>
        <scheme val="minor"/>
      </rPr>
      <t>with the Haplotype Reference Consortium (v1.1) and 1000</t>
    </r>
    <r>
      <rPr>
        <sz val="12"/>
        <color theme="1"/>
        <rFont val="Calibri"/>
        <family val="2"/>
        <scheme val="minor"/>
      </rPr>
      <t xml:space="preserve"> Genomes panels serving as references. Imputation was performed using Minimac 3 through the University of Michigan Imputation Server. </t>
    </r>
  </si>
  <si>
    <t>Supplementary Data 23: Details of ethics approval, ascertainment, genotyping, quality control, genome-wide imputation, and association testing for each contributing study</t>
  </si>
  <si>
    <t>Supplementary Data 1</t>
  </si>
  <si>
    <t>Supplementary Data 2</t>
  </si>
  <si>
    <t>Supplementary Data 3</t>
  </si>
  <si>
    <t>Supplementary Data 4</t>
  </si>
  <si>
    <t>Supplementary Data 5</t>
  </si>
  <si>
    <t>Supplementary Data 6</t>
  </si>
  <si>
    <t>Supplementary Data 7</t>
  </si>
  <si>
    <t>Supplementary Data 8</t>
  </si>
  <si>
    <t>Supplementary Data 9</t>
  </si>
  <si>
    <t>Supplementary Data 10</t>
  </si>
  <si>
    <t>Supplementary Data 11</t>
  </si>
  <si>
    <t>Supplementary Data 12</t>
  </si>
  <si>
    <t>Supplementary Data 13</t>
  </si>
  <si>
    <t>Supplementary Data 14</t>
  </si>
  <si>
    <t>Supplementary Data 15</t>
  </si>
  <si>
    <t>Supplementary Data 16</t>
  </si>
  <si>
    <t>Supplementary Data 17</t>
  </si>
  <si>
    <t>Supplementary Data 18</t>
  </si>
  <si>
    <t>Supplementary Data 19</t>
  </si>
  <si>
    <t>Supplementary Data 20</t>
  </si>
  <si>
    <t>Supplementary Data 21</t>
  </si>
  <si>
    <t>Supplementary Data 22</t>
  </si>
  <si>
    <t>Supplementary Data 23</t>
  </si>
  <si>
    <t>Supplementary Data 1: Summary of meta-analysis association signals</t>
  </si>
  <si>
    <t>Supplementary Data 2: Previously reported European psoriasis susceptibility loci not found genome-wide significantly associated</t>
  </si>
  <si>
    <t>Supplementary Data 3: Summary of loci newly reported in Europeans</t>
  </si>
  <si>
    <t>Supplementary Data 4: Effect sizes reported in other populations at loci newly reported in Europeans</t>
  </si>
  <si>
    <t>Supplementary Data 5: Variance explained by independent psoriasis susceptibility signals</t>
  </si>
  <si>
    <t>Supplementary Data 6: Summary of statistical fine-mapping</t>
  </si>
  <si>
    <t>Supplementary Data 7: Comparison of 95% Bayesian credible sets to previous GWAS meta-analysis</t>
  </si>
  <si>
    <t>Supplementary Data 8: Protein-altering variants in psoriasis susceptibility regions</t>
  </si>
  <si>
    <t>Supplementary Data 9: Encrichment for likely regulatory variants by credible set size</t>
  </si>
  <si>
    <t>Supplementary Data 10: Candidate variants with highly probable regulatory function</t>
  </si>
  <si>
    <t>Supplementary Data 11: Mediated expression score analysis</t>
  </si>
  <si>
    <t>Supplementary Data 12: Transcriptome-wide psoriasis-associated genes</t>
  </si>
  <si>
    <t>Supplementary Data 13: TWAS results summarised by genomic region</t>
  </si>
  <si>
    <t>Supplementary Data 14: Gene sets with strongest evidence for enrichment of genes in psoriasis-associated regions</t>
  </si>
  <si>
    <t>Supplementary Data 15: Functional enrichment of TWAS gene clusters</t>
  </si>
  <si>
    <t>Supplementary Data 16: Enrichment between psoriasis TWAS genes and stimulated keratinocyte transcriptomes</t>
  </si>
  <si>
    <t>Supplementary Data 17: Genetic correlations with psoriasis susceptibility</t>
  </si>
  <si>
    <t>Supplementary Data 18: Partial genetic causality between psoriasis and other traits</t>
  </si>
  <si>
    <t>Supplementary Data 19: Mendelian randomization analysis for significant LCV traits</t>
  </si>
  <si>
    <t>Supplementary Data 20: Summary of psoriasis-associated regions, independent signals and implicated genes</t>
  </si>
  <si>
    <t>Supplementary Data 21: Summary of previously reported non-European psoriasis loci</t>
  </si>
  <si>
    <t>Supplementary Data 22: Studies included in meta-analysis</t>
  </si>
  <si>
    <t>Supplementary Data</t>
  </si>
  <si>
    <r>
      <rPr>
        <vertAlign val="superscript"/>
        <sz val="12"/>
        <rFont val="Calibri (Body)"/>
      </rPr>
      <t>c</t>
    </r>
    <r>
      <rPr>
        <sz val="12"/>
        <rFont val="Calibri"/>
        <family val="2"/>
        <scheme val="minor"/>
      </rPr>
      <t xml:space="preserve"> Full details in Supplementary Data 8</t>
    </r>
  </si>
  <si>
    <r>
      <rPr>
        <vertAlign val="superscript"/>
        <sz val="12"/>
        <rFont val="Calibri (Body)"/>
      </rPr>
      <t>d</t>
    </r>
    <r>
      <rPr>
        <sz val="12"/>
        <rFont val="Calibri"/>
        <family val="2"/>
        <scheme val="minor"/>
      </rPr>
      <t xml:space="preserve"> Full details in Supplementary Data 10</t>
    </r>
  </si>
  <si>
    <r>
      <rPr>
        <vertAlign val="superscript"/>
        <sz val="12"/>
        <rFont val="Calibri (Body)"/>
      </rPr>
      <t>e</t>
    </r>
    <r>
      <rPr>
        <sz val="12"/>
        <rFont val="Calibri"/>
        <family val="2"/>
        <scheme val="minor"/>
      </rPr>
      <t xml:space="preserve"> Full details in Supplementary Data 12</t>
    </r>
  </si>
  <si>
    <r>
      <rPr>
        <vertAlign val="superscript"/>
        <sz val="12"/>
        <color theme="1"/>
        <rFont val="Calibri (Body)"/>
      </rPr>
      <t>a</t>
    </r>
    <r>
      <rPr>
        <sz val="12"/>
        <color theme="1"/>
        <rFont val="Calibri"/>
        <family val="2"/>
        <scheme val="minor"/>
      </rPr>
      <t xml:space="preserve"> Psoriasis susceptibility region, corresponding to the numbering in Supplementary Data 1</t>
    </r>
  </si>
  <si>
    <r>
      <rPr>
        <vertAlign val="superscript"/>
        <sz val="12"/>
        <color theme="1"/>
        <rFont val="Calibri (Body)"/>
      </rPr>
      <t>d</t>
    </r>
    <r>
      <rPr>
        <sz val="12"/>
        <color theme="1"/>
        <rFont val="Calibri"/>
        <family val="2"/>
        <scheme val="minor"/>
      </rPr>
      <t xml:space="preserve"> Indicates transcriptome-wide significant (P&lt;2.2e-6; two-sided Z-test unadjusted for multiple tests) in at least one tissue (details provided in Supplementary Data 12)</t>
    </r>
  </si>
  <si>
    <r>
      <rPr>
        <vertAlign val="superscript"/>
        <sz val="12"/>
        <color theme="1"/>
        <rFont val="Calibri (Body)"/>
      </rPr>
      <t>b</t>
    </r>
    <r>
      <rPr>
        <sz val="12"/>
        <color theme="1"/>
        <rFont val="Calibri"/>
        <family val="2"/>
        <scheme val="minor"/>
      </rPr>
      <t xml:space="preserve"> Indicates the psoriasis susceptibility region in which the gene is situated, if any. Region number corresponds to the numbering in Supplementary Data 1. Note that gene RP11-55K22.2 lies outside of the LD block for region 43 but within 1Mb of the lead meta-analysis SNP.</t>
    </r>
  </si>
  <si>
    <r>
      <rPr>
        <vertAlign val="superscript"/>
        <sz val="12"/>
        <rFont val="Calibri (Body)"/>
      </rPr>
      <t>a</t>
    </r>
    <r>
      <rPr>
        <sz val="12"/>
        <rFont val="Calibri"/>
        <family val="2"/>
        <scheme val="minor"/>
      </rPr>
      <t xml:space="preserve"> Refers to region numbers in Supplementary Data 1</t>
    </r>
  </si>
  <si>
    <r>
      <rPr>
        <vertAlign val="superscript"/>
        <sz val="12"/>
        <rFont val="Calibri (Body)"/>
      </rPr>
      <t>a</t>
    </r>
    <r>
      <rPr>
        <sz val="12"/>
        <rFont val="Calibri"/>
        <family val="2"/>
        <scheme val="minor"/>
      </rPr>
      <t xml:space="preserve"> Number refers to label in Supplementary Figure 16 (significant GCP traits 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</si>
</sst>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
    <numFmt numFmtId="167" formatCode="0.0000"/>
    <numFmt numFmtId="168" formatCode="0.0E+00"/>
  </numFmts>
  <fonts count="33" x14ac:knownFonts="1">
    <font>
      <sz val="12"/>
      <color theme="1"/>
      <name val="Calibri"/>
      <family val="2"/>
      <scheme val="minor"/>
    </font>
    <font>
      <b/>
      <sz val="12"/>
      <color theme="1"/>
      <name val="Calibri"/>
      <family val="2"/>
      <scheme val="minor"/>
    </font>
    <font>
      <b/>
      <sz val="10"/>
      <color theme="1"/>
      <name val="Calibri (Body)"/>
    </font>
    <font>
      <vertAlign val="superscript"/>
      <sz val="12"/>
      <color theme="1"/>
      <name val="Calibri (Body)"/>
    </font>
    <font>
      <vertAlign val="subscript"/>
      <sz val="12"/>
      <color theme="1"/>
      <name val="Calibri (Body)"/>
    </font>
    <font>
      <b/>
      <vertAlign val="superscript"/>
      <sz val="12"/>
      <color theme="1"/>
      <name val="Calibri (Body)"/>
    </font>
    <font>
      <b/>
      <vertAlign val="subscript"/>
      <sz val="12"/>
      <color theme="1"/>
      <name val="Calibri (Body)"/>
    </font>
    <font>
      <sz val="12"/>
      <color theme="1"/>
      <name val="Calibri"/>
      <family val="2"/>
      <scheme val="minor"/>
    </font>
    <font>
      <sz val="12"/>
      <color rgb="FFFF0000"/>
      <name val="Calibri"/>
      <family val="2"/>
      <scheme val="minor"/>
    </font>
    <font>
      <b/>
      <sz val="12"/>
      <color rgb="FF000000"/>
      <name val="Calibri"/>
      <family val="2"/>
      <scheme val="minor"/>
    </font>
    <font>
      <b/>
      <vertAlign val="superscript"/>
      <sz val="12"/>
      <color theme="1"/>
      <name val="Calibri"/>
      <family val="2"/>
      <scheme val="minor"/>
    </font>
    <font>
      <sz val="12"/>
      <color theme="5"/>
      <name val="Calibri"/>
      <family val="2"/>
      <scheme val="minor"/>
    </font>
    <font>
      <b/>
      <vertAlign val="subscript"/>
      <sz val="12"/>
      <color theme="1"/>
      <name val="Calibri"/>
      <family val="2"/>
      <scheme val="minor"/>
    </font>
    <font>
      <sz val="12"/>
      <name val="Calibri"/>
      <family val="2"/>
      <scheme val="minor"/>
    </font>
    <font>
      <b/>
      <sz val="12"/>
      <name val="Calibri"/>
      <family val="2"/>
      <scheme val="minor"/>
    </font>
    <font>
      <b/>
      <vertAlign val="superscript"/>
      <sz val="12"/>
      <name val="Calibri (Body)"/>
    </font>
    <font>
      <vertAlign val="subscript"/>
      <sz val="12"/>
      <name val="Calibri (Body)"/>
    </font>
    <font>
      <vertAlign val="superscript"/>
      <sz val="12"/>
      <name val="Calibri (Body)"/>
    </font>
    <font>
      <vertAlign val="superscript"/>
      <sz val="12"/>
      <color theme="1"/>
      <name val="Calibri"/>
      <family val="2"/>
      <scheme val="minor"/>
    </font>
    <font>
      <sz val="12"/>
      <color theme="1"/>
      <name val="Calibri (Body)"/>
    </font>
    <font>
      <b/>
      <sz val="12"/>
      <color theme="1"/>
      <name val="Calibri (Body)"/>
    </font>
    <font>
      <sz val="12"/>
      <name val="Calibri (Body)"/>
    </font>
    <font>
      <i/>
      <sz val="12"/>
      <color theme="1"/>
      <name val="Calibri"/>
      <family val="2"/>
      <scheme val="minor"/>
    </font>
    <font>
      <sz val="12"/>
      <color rgb="FFFF0000"/>
      <name val="Calibri (Body)"/>
    </font>
    <font>
      <u/>
      <sz val="12"/>
      <color theme="10"/>
      <name val="Calibri"/>
      <family val="2"/>
      <scheme val="minor"/>
    </font>
    <font>
      <i/>
      <sz val="12"/>
      <name val="Calibri"/>
      <family val="2"/>
      <scheme val="minor"/>
    </font>
    <font>
      <b/>
      <sz val="12"/>
      <color theme="0"/>
      <name val="Calibri"/>
      <family val="2"/>
      <scheme val="minor"/>
    </font>
    <font>
      <sz val="12"/>
      <color theme="0"/>
      <name val="Calibri"/>
      <family val="2"/>
      <scheme val="minor"/>
    </font>
    <font>
      <sz val="12"/>
      <color rgb="FF212121"/>
      <name val="Calibri"/>
      <family val="2"/>
      <scheme val="minor"/>
    </font>
    <font>
      <sz val="12"/>
      <color rgb="FF000000"/>
      <name val="Calibri"/>
      <family val="2"/>
      <scheme val="minor"/>
    </font>
    <font>
      <i/>
      <sz val="12"/>
      <color rgb="FF000000"/>
      <name val="Calibri"/>
      <family val="2"/>
      <scheme val="minor"/>
    </font>
    <font>
      <b/>
      <vertAlign val="superscript"/>
      <sz val="12"/>
      <color rgb="FF000000"/>
      <name val="Calibri"/>
      <family val="2"/>
      <scheme val="minor"/>
    </font>
    <font>
      <b/>
      <i/>
      <sz val="12"/>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4"/>
        <bgColor indexed="64"/>
      </patternFill>
    </fill>
    <fill>
      <patternFill patternType="solid">
        <fgColor theme="0" tint="-0.14999847407452621"/>
        <bgColor indexed="64"/>
      </patternFill>
    </fill>
    <fill>
      <patternFill patternType="solid">
        <fgColor rgb="FFBFBFBF"/>
        <bgColor rgb="FF000000"/>
      </patternFill>
    </fill>
  </fills>
  <borders count="7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tint="-0.14996795556505021"/>
      </bottom>
      <diagonal/>
    </border>
    <border>
      <left/>
      <right/>
      <top style="thin">
        <color indexed="64"/>
      </top>
      <bottom style="thin">
        <color theme="0" tint="-0.14996795556505021"/>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top style="thin">
        <color theme="0" tint="-0.14996795556505021"/>
      </top>
      <bottom style="thin">
        <color indexed="64"/>
      </bottom>
      <diagonal/>
    </border>
    <border>
      <left/>
      <right style="thin">
        <color indexed="64"/>
      </right>
      <top style="thin">
        <color theme="0" tint="-0.14996795556505021"/>
      </top>
      <bottom style="thin">
        <color indexed="64"/>
      </bottom>
      <diagonal/>
    </border>
    <border>
      <left style="thin">
        <color indexed="64"/>
      </left>
      <right style="thin">
        <color indexed="64"/>
      </right>
      <top style="thin">
        <color theme="0" tint="-0.14996795556505021"/>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9" fontId="7" fillId="0" borderId="0" applyFont="0" applyFill="0" applyBorder="0" applyAlignment="0" applyProtection="0"/>
    <xf numFmtId="0" fontId="24" fillId="0" borderId="0" applyNumberFormat="0" applyFill="0" applyBorder="0" applyAlignment="0" applyProtection="0"/>
  </cellStyleXfs>
  <cellXfs count="59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1" xfId="0" applyFont="1" applyFill="1" applyBorder="1" applyAlignment="1">
      <alignment horizontal="centerContinuous"/>
    </xf>
    <xf numFmtId="0" fontId="1" fillId="2" borderId="2" xfId="0" applyFont="1" applyFill="1" applyBorder="1" applyAlignment="1">
      <alignment horizontal="centerContinuous"/>
    </xf>
    <xf numFmtId="0" fontId="1" fillId="2" borderId="3" xfId="0" applyFont="1" applyFill="1" applyBorder="1" applyAlignment="1">
      <alignment horizontal="centerContinuous"/>
    </xf>
    <xf numFmtId="1" fontId="1" fillId="2" borderId="1" xfId="0" applyNumberFormat="1" applyFont="1" applyFill="1" applyBorder="1" applyAlignment="1">
      <alignment horizontal="centerContinuous"/>
    </xf>
    <xf numFmtId="0" fontId="1" fillId="2" borderId="5" xfId="0" applyFont="1" applyFill="1" applyBorder="1" applyAlignment="1">
      <alignment horizontal="center"/>
    </xf>
    <xf numFmtId="0" fontId="1" fillId="2" borderId="0" xfId="0" applyFont="1" applyFill="1" applyAlignment="1">
      <alignment horizontal="center"/>
    </xf>
    <xf numFmtId="0" fontId="1" fillId="2" borderId="6" xfId="0" applyFont="1" applyFill="1" applyBorder="1" applyAlignment="1">
      <alignment horizontal="center"/>
    </xf>
    <xf numFmtId="1" fontId="1" fillId="2" borderId="5" xfId="0" applyNumberFormat="1" applyFont="1" applyFill="1" applyBorder="1" applyAlignment="1">
      <alignment horizontal="center"/>
    </xf>
    <xf numFmtId="0" fontId="0" fillId="3" borderId="1" xfId="0" applyFill="1" applyBorder="1" applyAlignment="1">
      <alignment horizontal="center"/>
    </xf>
    <xf numFmtId="0" fontId="0" fillId="3" borderId="3" xfId="0" applyFill="1" applyBorder="1" applyAlignment="1">
      <alignment horizontal="center"/>
    </xf>
    <xf numFmtId="0" fontId="0" fillId="3" borderId="8" xfId="0" applyFill="1" applyBorder="1" applyAlignment="1">
      <alignment horizontal="center"/>
    </xf>
    <xf numFmtId="0" fontId="0" fillId="3" borderId="10" xfId="0" applyFill="1" applyBorder="1" applyAlignment="1">
      <alignment horizontal="center"/>
    </xf>
    <xf numFmtId="0" fontId="0" fillId="3" borderId="12" xfId="0" applyFill="1" applyBorder="1" applyAlignment="1">
      <alignment horizontal="center"/>
    </xf>
    <xf numFmtId="0" fontId="0" fillId="3" borderId="14" xfId="0" applyFill="1" applyBorder="1" applyAlignment="1">
      <alignment horizontal="center"/>
    </xf>
    <xf numFmtId="164" fontId="0" fillId="3" borderId="14" xfId="0" applyNumberFormat="1" applyFill="1" applyBorder="1" applyAlignment="1">
      <alignment horizontal="center"/>
    </xf>
    <xf numFmtId="0" fontId="0" fillId="3" borderId="5" xfId="0" applyFill="1" applyBorder="1" applyAlignment="1">
      <alignment horizontal="center"/>
    </xf>
    <xf numFmtId="0" fontId="0" fillId="3" borderId="0" xfId="0" applyFill="1" applyAlignment="1">
      <alignment horizontal="center"/>
    </xf>
    <xf numFmtId="0" fontId="0" fillId="3" borderId="6" xfId="0" applyFill="1" applyBorder="1" applyAlignment="1">
      <alignment horizontal="center"/>
    </xf>
    <xf numFmtId="11" fontId="0" fillId="0" borderId="0" xfId="0" applyNumberFormat="1"/>
    <xf numFmtId="1" fontId="0" fillId="0" borderId="0" xfId="0" applyNumberFormat="1"/>
    <xf numFmtId="0" fontId="0" fillId="0" borderId="0" xfId="0" applyAlignment="1">
      <alignment horizontal="left"/>
    </xf>
    <xf numFmtId="0" fontId="1" fillId="0" borderId="0" xfId="0" applyFont="1"/>
    <xf numFmtId="0" fontId="0" fillId="0" borderId="2" xfId="0" applyBorder="1" applyAlignment="1">
      <alignment horizontal="center" vertical="center"/>
    </xf>
    <xf numFmtId="3" fontId="0" fillId="0" borderId="2" xfId="0" applyNumberFormat="1" applyBorder="1" applyAlignment="1">
      <alignment horizontal="center" vertical="center"/>
    </xf>
    <xf numFmtId="3" fontId="0" fillId="0" borderId="3" xfId="0" applyNumberFormat="1" applyBorder="1" applyAlignment="1">
      <alignment horizontal="center" vertical="center"/>
    </xf>
    <xf numFmtId="3" fontId="0" fillId="0" borderId="0" xfId="0" applyNumberFormat="1" applyAlignment="1">
      <alignment horizontal="center" vertical="center"/>
    </xf>
    <xf numFmtId="3" fontId="0" fillId="0" borderId="6" xfId="0" applyNumberFormat="1"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3" fontId="0" fillId="0" borderId="9" xfId="0" applyNumberFormat="1" applyBorder="1" applyAlignment="1">
      <alignment horizontal="center" vertical="center"/>
    </xf>
    <xf numFmtId="3" fontId="0" fillId="0" borderId="10" xfId="0" applyNumberFormat="1" applyBorder="1" applyAlignment="1">
      <alignment horizontal="center" vertical="center"/>
    </xf>
    <xf numFmtId="0" fontId="0" fillId="0" borderId="1" xfId="0" applyBorder="1" applyAlignment="1">
      <alignment vertical="center"/>
    </xf>
    <xf numFmtId="0" fontId="0" fillId="0" borderId="2" xfId="0" applyBorder="1" applyAlignment="1">
      <alignment vertical="center"/>
    </xf>
    <xf numFmtId="0" fontId="0" fillId="0" borderId="5" xfId="0" applyBorder="1" applyAlignment="1">
      <alignment vertical="center"/>
    </xf>
    <xf numFmtId="0" fontId="0" fillId="0" borderId="0" xfId="0" applyAlignment="1">
      <alignment vertical="center"/>
    </xf>
    <xf numFmtId="0" fontId="0" fillId="0" borderId="8" xfId="0" applyBorder="1" applyAlignment="1">
      <alignment vertical="center"/>
    </xf>
    <xf numFmtId="0" fontId="0" fillId="0" borderId="9" xfId="0" applyBorder="1" applyAlignment="1">
      <alignment horizontal="center" vertical="center"/>
    </xf>
    <xf numFmtId="0" fontId="0" fillId="0" borderId="9" xfId="0" applyBorder="1" applyAlignment="1">
      <alignment vertical="center"/>
    </xf>
    <xf numFmtId="0" fontId="1" fillId="0" borderId="1"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vertical="center"/>
    </xf>
    <xf numFmtId="0" fontId="9" fillId="0" borderId="0" xfId="0" applyFont="1"/>
    <xf numFmtId="0" fontId="0" fillId="3" borderId="4" xfId="0" applyFill="1" applyBorder="1"/>
    <xf numFmtId="0" fontId="0" fillId="3" borderId="7" xfId="0" applyFill="1" applyBorder="1"/>
    <xf numFmtId="0" fontId="0" fillId="3" borderId="15" xfId="0" applyFill="1" applyBorder="1"/>
    <xf numFmtId="0" fontId="0" fillId="3" borderId="11" xfId="0" applyFill="1" applyBorder="1"/>
    <xf numFmtId="165" fontId="8" fillId="3" borderId="8" xfId="1" applyNumberFormat="1" applyFont="1" applyFill="1" applyBorder="1" applyAlignment="1">
      <alignment horizontal="center"/>
    </xf>
    <xf numFmtId="165" fontId="8" fillId="3" borderId="10" xfId="1" applyNumberFormat="1" applyFont="1" applyFill="1" applyBorder="1" applyAlignment="1">
      <alignment horizontal="center"/>
    </xf>
    <xf numFmtId="164" fontId="0" fillId="3" borderId="12" xfId="0" applyNumberFormat="1" applyFill="1" applyBorder="1" applyAlignment="1">
      <alignment horizontal="center"/>
    </xf>
    <xf numFmtId="0" fontId="0" fillId="3" borderId="2" xfId="0" applyFill="1" applyBorder="1"/>
    <xf numFmtId="0" fontId="0" fillId="3" borderId="3" xfId="0" applyFill="1" applyBorder="1"/>
    <xf numFmtId="0" fontId="0" fillId="3" borderId="0" xfId="0" applyFill="1"/>
    <xf numFmtId="0" fontId="0" fillId="3" borderId="5" xfId="0" applyFill="1" applyBorder="1"/>
    <xf numFmtId="0" fontId="0" fillId="3" borderId="6" xfId="0" applyFill="1" applyBorder="1"/>
    <xf numFmtId="0" fontId="0" fillId="3" borderId="8" xfId="0" applyFill="1" applyBorder="1"/>
    <xf numFmtId="0" fontId="0" fillId="3" borderId="9" xfId="0" applyFill="1" applyBorder="1"/>
    <xf numFmtId="0" fontId="0" fillId="3" borderId="10" xfId="0" applyFill="1" applyBorder="1"/>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0" fillId="3" borderId="5" xfId="0" applyFill="1" applyBorder="1" applyAlignment="1">
      <alignment horizontal="center" vertical="center"/>
    </xf>
    <xf numFmtId="0" fontId="0" fillId="3" borderId="0" xfId="0" applyFill="1" applyAlignment="1">
      <alignment horizontal="center" vertical="center"/>
    </xf>
    <xf numFmtId="164" fontId="0" fillId="3" borderId="0" xfId="0" applyNumberFormat="1" applyFill="1" applyAlignment="1">
      <alignment horizontal="center" vertical="center"/>
    </xf>
    <xf numFmtId="0" fontId="0" fillId="3" borderId="6" xfId="0" applyFill="1" applyBorder="1" applyAlignment="1">
      <alignment horizontal="center" vertical="center"/>
    </xf>
    <xf numFmtId="0" fontId="1" fillId="3" borderId="1"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1" fillId="3" borderId="8" xfId="0" applyFont="1" applyFill="1" applyBorder="1" applyAlignment="1">
      <alignment vertical="center" wrapText="1"/>
    </xf>
    <xf numFmtId="0" fontId="0" fillId="3" borderId="5" xfId="0" applyFill="1" applyBorder="1" applyAlignment="1">
      <alignment vertical="center"/>
    </xf>
    <xf numFmtId="0" fontId="0" fillId="3" borderId="8" xfId="0" applyFill="1" applyBorder="1" applyAlignment="1">
      <alignment horizontal="center" vertical="center"/>
    </xf>
    <xf numFmtId="0" fontId="0" fillId="3" borderId="9" xfId="0" applyFill="1" applyBorder="1" applyAlignment="1">
      <alignment horizontal="center" vertical="center" wrapText="1"/>
    </xf>
    <xf numFmtId="0" fontId="0" fillId="3" borderId="9" xfId="0" applyFill="1" applyBorder="1" applyAlignment="1">
      <alignment horizontal="center" vertical="center"/>
    </xf>
    <xf numFmtId="0" fontId="0" fillId="3" borderId="10" xfId="0" applyFill="1" applyBorder="1" applyAlignment="1">
      <alignment horizontal="center" vertical="center" wrapText="1"/>
    </xf>
    <xf numFmtId="0" fontId="0" fillId="3" borderId="10" xfId="0" applyFill="1" applyBorder="1" applyAlignment="1">
      <alignment horizontal="center" vertical="center"/>
    </xf>
    <xf numFmtId="166" fontId="0" fillId="3" borderId="0" xfId="0" applyNumberFormat="1" applyFill="1" applyAlignment="1">
      <alignment horizontal="center" vertical="center"/>
    </xf>
    <xf numFmtId="166" fontId="0" fillId="3" borderId="6" xfId="0" applyNumberFormat="1" applyFill="1" applyBorder="1" applyAlignment="1">
      <alignment horizontal="center" vertical="center"/>
    </xf>
    <xf numFmtId="0" fontId="1" fillId="3" borderId="1" xfId="0" applyFont="1" applyFill="1" applyBorder="1" applyAlignment="1">
      <alignment horizontal="centerContinuous" vertical="center"/>
    </xf>
    <xf numFmtId="0" fontId="1" fillId="3" borderId="2" xfId="0" applyFont="1" applyFill="1" applyBorder="1" applyAlignment="1">
      <alignment horizontal="centerContinuous" vertical="center"/>
    </xf>
    <xf numFmtId="0" fontId="1" fillId="3" borderId="3" xfId="0" applyFont="1" applyFill="1" applyBorder="1" applyAlignment="1">
      <alignment horizontal="centerContinuous" vertical="center"/>
    </xf>
    <xf numFmtId="0" fontId="0" fillId="3" borderId="1" xfId="0" applyFill="1" applyBorder="1" applyAlignment="1">
      <alignment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164" fontId="0" fillId="3" borderId="2" xfId="0" applyNumberFormat="1" applyFill="1" applyBorder="1" applyAlignment="1">
      <alignment horizontal="center" vertical="center"/>
    </xf>
    <xf numFmtId="0" fontId="0" fillId="3" borderId="3" xfId="0" applyFill="1" applyBorder="1" applyAlignment="1">
      <alignment horizontal="center" vertical="center"/>
    </xf>
    <xf numFmtId="166" fontId="0" fillId="3" borderId="2" xfId="0" applyNumberFormat="1" applyFill="1" applyBorder="1" applyAlignment="1">
      <alignment horizontal="center" vertical="center"/>
    </xf>
    <xf numFmtId="166" fontId="0" fillId="3" borderId="3" xfId="0" applyNumberFormat="1" applyFill="1" applyBorder="1" applyAlignment="1">
      <alignment horizontal="center" vertical="center"/>
    </xf>
    <xf numFmtId="0" fontId="1" fillId="3" borderId="5" xfId="0" applyFont="1" applyFill="1" applyBorder="1" applyAlignment="1">
      <alignment vertical="center"/>
    </xf>
    <xf numFmtId="0" fontId="1" fillId="3" borderId="0" xfId="0" applyFont="1" applyFill="1" applyAlignment="1">
      <alignment horizontal="center" vertical="center"/>
    </xf>
    <xf numFmtId="164" fontId="1" fillId="3" borderId="0" xfId="0" applyNumberFormat="1" applyFont="1" applyFill="1" applyAlignment="1">
      <alignment horizontal="center" vertical="center"/>
    </xf>
    <xf numFmtId="0" fontId="1" fillId="3" borderId="6" xfId="0" applyFont="1" applyFill="1" applyBorder="1" applyAlignment="1">
      <alignment horizontal="center" vertical="center"/>
    </xf>
    <xf numFmtId="0" fontId="1" fillId="3" borderId="0" xfId="0" applyFont="1" applyFill="1" applyAlignment="1">
      <alignment vertical="center"/>
    </xf>
    <xf numFmtId="0" fontId="1" fillId="3" borderId="6" xfId="0" applyFont="1" applyFill="1" applyBorder="1" applyAlignment="1">
      <alignment vertical="center"/>
    </xf>
    <xf numFmtId="0" fontId="1" fillId="3" borderId="5" xfId="0" applyFont="1" applyFill="1" applyBorder="1" applyAlignment="1">
      <alignment horizontal="center" vertical="center"/>
    </xf>
    <xf numFmtId="0" fontId="1" fillId="3" borderId="8" xfId="0" applyFont="1" applyFill="1" applyBorder="1" applyAlignment="1">
      <alignment vertical="center"/>
    </xf>
    <xf numFmtId="0" fontId="1" fillId="3" borderId="9" xfId="0" applyFont="1" applyFill="1" applyBorder="1" applyAlignment="1">
      <alignment vertical="center"/>
    </xf>
    <xf numFmtId="0" fontId="1" fillId="3" borderId="10" xfId="0" applyFont="1" applyFill="1" applyBorder="1" applyAlignment="1">
      <alignment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164" fontId="1" fillId="3" borderId="2" xfId="0" applyNumberFormat="1" applyFont="1" applyFill="1" applyBorder="1" applyAlignment="1">
      <alignment horizontal="center" vertical="center"/>
    </xf>
    <xf numFmtId="166" fontId="1" fillId="3" borderId="1" xfId="0" applyNumberFormat="1" applyFont="1" applyFill="1" applyBorder="1" applyAlignment="1">
      <alignment horizontal="center" vertical="center"/>
    </xf>
    <xf numFmtId="0" fontId="1" fillId="3" borderId="3" xfId="0" applyFont="1" applyFill="1" applyBorder="1" applyAlignment="1">
      <alignment horizontal="center" vertical="center"/>
    </xf>
    <xf numFmtId="165" fontId="8" fillId="3" borderId="5" xfId="1" applyNumberFormat="1" applyFont="1" applyFill="1" applyBorder="1" applyAlignment="1">
      <alignment horizontal="center" vertical="center"/>
    </xf>
    <xf numFmtId="165" fontId="8" fillId="3" borderId="8" xfId="1" applyNumberFormat="1" applyFont="1" applyFill="1" applyBorder="1" applyAlignment="1">
      <alignment horizontal="center" vertical="center"/>
    </xf>
    <xf numFmtId="165" fontId="8" fillId="3" borderId="9" xfId="1" applyNumberFormat="1" applyFont="1" applyFill="1" applyBorder="1" applyAlignment="1">
      <alignment horizontal="center" vertical="center"/>
    </xf>
    <xf numFmtId="0" fontId="1" fillId="3" borderId="2" xfId="0" applyFont="1" applyFill="1" applyBorder="1" applyAlignment="1">
      <alignment horizontal="center"/>
    </xf>
    <xf numFmtId="165" fontId="8" fillId="3" borderId="0" xfId="1" applyNumberFormat="1" applyFont="1" applyFill="1" applyBorder="1" applyAlignment="1">
      <alignment horizontal="center" vertical="center"/>
    </xf>
    <xf numFmtId="0" fontId="1" fillId="3" borderId="0" xfId="0" applyFont="1" applyFill="1" applyAlignment="1">
      <alignment horizontal="center"/>
    </xf>
    <xf numFmtId="0" fontId="1" fillId="2" borderId="0" xfId="0" applyFont="1" applyFill="1" applyAlignment="1">
      <alignment horizontal="center" vertical="center"/>
    </xf>
    <xf numFmtId="166" fontId="0" fillId="3" borderId="9" xfId="0" applyNumberForma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0" fillId="2" borderId="9" xfId="0" applyFill="1" applyBorder="1" applyAlignment="1">
      <alignment horizontal="left" vertical="center" wrapText="1"/>
    </xf>
    <xf numFmtId="0" fontId="1" fillId="2" borderId="10" xfId="0" applyFont="1" applyFill="1" applyBorder="1" applyAlignment="1">
      <alignment horizontal="center" vertical="center"/>
    </xf>
    <xf numFmtId="166" fontId="0" fillId="3" borderId="10" xfId="0" applyNumberFormat="1" applyFill="1" applyBorder="1" applyAlignment="1">
      <alignment horizontal="center" vertical="center"/>
    </xf>
    <xf numFmtId="0" fontId="0" fillId="3" borderId="0" xfId="0" applyFill="1" applyAlignment="1">
      <alignment horizontal="left"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3" borderId="9" xfId="0" applyFill="1" applyBorder="1" applyAlignment="1">
      <alignment horizontal="left" vertical="center"/>
    </xf>
    <xf numFmtId="11" fontId="0" fillId="3" borderId="3" xfId="0" applyNumberFormat="1" applyFill="1" applyBorder="1" applyAlignment="1">
      <alignment horizontal="center" vertical="center"/>
    </xf>
    <xf numFmtId="11" fontId="0" fillId="3" borderId="6" xfId="0" applyNumberFormat="1" applyFill="1" applyBorder="1" applyAlignment="1">
      <alignment horizontal="center" vertical="center"/>
    </xf>
    <xf numFmtId="11" fontId="0" fillId="3" borderId="10" xfId="0" applyNumberFormat="1" applyFill="1" applyBorder="1" applyAlignment="1">
      <alignment horizontal="center"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xf numFmtId="11" fontId="0" fillId="3" borderId="14" xfId="0" applyNumberFormat="1" applyFill="1" applyBorder="1" applyAlignment="1">
      <alignment horizontal="center" vertical="center"/>
    </xf>
    <xf numFmtId="0" fontId="0" fillId="0" borderId="5" xfId="0" applyBorder="1" applyAlignment="1">
      <alignment horizontal="center"/>
    </xf>
    <xf numFmtId="0" fontId="0" fillId="0" borderId="8" xfId="0" applyBorder="1" applyAlignment="1">
      <alignment horizont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5" xfId="0" applyBorder="1" applyAlignment="1">
      <alignment horizontal="center" vertical="center"/>
    </xf>
    <xf numFmtId="0" fontId="0" fillId="0" borderId="8" xfId="0" applyBorder="1" applyAlignment="1">
      <alignment horizontal="center" vertical="center"/>
    </xf>
    <xf numFmtId="11" fontId="0" fillId="0" borderId="0" xfId="0" applyNumberFormat="1" applyAlignment="1">
      <alignment horizontal="center"/>
    </xf>
    <xf numFmtId="0" fontId="0" fillId="0" borderId="5" xfId="0" applyBorder="1"/>
    <xf numFmtId="11" fontId="0" fillId="0" borderId="6" xfId="0" applyNumberFormat="1" applyBorder="1" applyAlignment="1">
      <alignment horizontal="center"/>
    </xf>
    <xf numFmtId="0" fontId="0" fillId="0" borderId="8" xfId="0" applyBorder="1"/>
    <xf numFmtId="11" fontId="0" fillId="0" borderId="10" xfId="0" applyNumberFormat="1" applyBorder="1" applyAlignment="1">
      <alignment horizontal="center"/>
    </xf>
    <xf numFmtId="0" fontId="0" fillId="0" borderId="0" xfId="0" applyAlignment="1">
      <alignment horizontal="center"/>
    </xf>
    <xf numFmtId="11" fontId="0" fillId="0" borderId="9" xfId="0" applyNumberFormat="1" applyBorder="1" applyAlignment="1">
      <alignment horizontal="center"/>
    </xf>
    <xf numFmtId="0" fontId="0" fillId="0" borderId="12" xfId="0" applyBorder="1"/>
    <xf numFmtId="0" fontId="0" fillId="0" borderId="13" xfId="0" applyBorder="1" applyAlignment="1">
      <alignment horizontal="center"/>
    </xf>
    <xf numFmtId="0" fontId="0" fillId="0" borderId="14" xfId="0" applyBorder="1" applyAlignment="1">
      <alignment horizontal="center"/>
    </xf>
    <xf numFmtId="11" fontId="0" fillId="0" borderId="0" xfId="0" applyNumberFormat="1" applyAlignment="1">
      <alignment horizontal="center" vertical="center"/>
    </xf>
    <xf numFmtId="11" fontId="0" fillId="0" borderId="6" xfId="0" applyNumberFormat="1"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3" fontId="0" fillId="0" borderId="0" xfId="0" applyNumberFormat="1"/>
    <xf numFmtId="0" fontId="11" fillId="0" borderId="0" xfId="0" applyFont="1"/>
    <xf numFmtId="0" fontId="1" fillId="0" borderId="12" xfId="0" applyFont="1" applyBorder="1" applyAlignment="1">
      <alignment vertical="center"/>
    </xf>
    <xf numFmtId="0" fontId="1" fillId="0" borderId="13" xfId="0" applyFont="1" applyBorder="1" applyAlignment="1">
      <alignment vertical="center"/>
    </xf>
    <xf numFmtId="0" fontId="1" fillId="0" borderId="13" xfId="0" applyFont="1" applyBorder="1" applyAlignment="1">
      <alignment horizontal="center" vertical="center" wrapText="1"/>
    </xf>
    <xf numFmtId="0" fontId="1" fillId="0" borderId="13" xfId="0" applyFont="1" applyBorder="1" applyAlignment="1">
      <alignment horizontal="center" vertical="center"/>
    </xf>
    <xf numFmtId="0" fontId="1" fillId="0" borderId="14" xfId="0" applyFont="1" applyBorder="1" applyAlignment="1">
      <alignment horizontal="center" vertical="center" wrapText="1"/>
    </xf>
    <xf numFmtId="164" fontId="0" fillId="0" borderId="0" xfId="0" applyNumberFormat="1" applyAlignment="1">
      <alignment horizontal="center" vertical="center"/>
    </xf>
    <xf numFmtId="164" fontId="0" fillId="0" borderId="9" xfId="0" applyNumberFormat="1" applyBorder="1" applyAlignment="1">
      <alignment horizontal="center" vertical="center"/>
    </xf>
    <xf numFmtId="0" fontId="1" fillId="0" borderId="14" xfId="0" applyFont="1" applyBorder="1" applyAlignment="1">
      <alignment horizontal="left" vertical="center"/>
    </xf>
    <xf numFmtId="0" fontId="0" fillId="0" borderId="6" xfId="0" applyBorder="1" applyAlignment="1">
      <alignment horizontal="left" vertical="center"/>
    </xf>
    <xf numFmtId="0" fontId="0" fillId="0" borderId="10" xfId="0" applyBorder="1" applyAlignment="1">
      <alignment horizontal="left" vertical="center"/>
    </xf>
    <xf numFmtId="166" fontId="0" fillId="0" borderId="0" xfId="0" applyNumberFormat="1" applyAlignment="1">
      <alignment horizontal="center"/>
    </xf>
    <xf numFmtId="164" fontId="0" fillId="0" borderId="0" xfId="0" applyNumberFormat="1" applyAlignment="1">
      <alignment horizontal="center"/>
    </xf>
    <xf numFmtId="0" fontId="0" fillId="0" borderId="6" xfId="0" applyBorder="1" applyAlignment="1">
      <alignment horizontal="center"/>
    </xf>
    <xf numFmtId="0" fontId="0" fillId="0" borderId="9" xfId="0" applyBorder="1" applyAlignment="1">
      <alignment horizontal="center"/>
    </xf>
    <xf numFmtId="166" fontId="0" fillId="0" borderId="9" xfId="0" applyNumberFormat="1" applyBorder="1" applyAlignment="1">
      <alignment horizontal="center"/>
    </xf>
    <xf numFmtId="164" fontId="0" fillId="0" borderId="9" xfId="0" applyNumberFormat="1" applyBorder="1" applyAlignment="1">
      <alignment horizontal="center"/>
    </xf>
    <xf numFmtId="0" fontId="0" fillId="0" borderId="10" xfId="0" applyBorder="1" applyAlignment="1">
      <alignment horizontal="center"/>
    </xf>
    <xf numFmtId="0" fontId="1" fillId="0" borderId="12" xfId="0" applyFont="1" applyBorder="1" applyAlignment="1">
      <alignment horizontal="center" vertical="center" wrapText="1"/>
    </xf>
    <xf numFmtId="0" fontId="0" fillId="3" borderId="2" xfId="0" applyFill="1" applyBorder="1" applyAlignment="1">
      <alignment horizontal="centerContinuous"/>
    </xf>
    <xf numFmtId="0" fontId="0" fillId="3" borderId="3" xfId="0" applyFill="1" applyBorder="1" applyAlignment="1">
      <alignment horizontal="centerContinuous"/>
    </xf>
    <xf numFmtId="164" fontId="0" fillId="3" borderId="9" xfId="0" applyNumberFormat="1" applyFill="1" applyBorder="1" applyAlignment="1">
      <alignment horizontal="center" vertical="center"/>
    </xf>
    <xf numFmtId="0" fontId="1" fillId="3" borderId="1" xfId="0" applyFont="1" applyFill="1" applyBorder="1" applyAlignment="1">
      <alignment horizontal="centerContinuous"/>
    </xf>
    <xf numFmtId="0" fontId="1" fillId="3" borderId="2" xfId="0" applyFont="1" applyFill="1" applyBorder="1" applyAlignment="1">
      <alignment horizontal="centerContinuous"/>
    </xf>
    <xf numFmtId="0" fontId="13" fillId="0" borderId="0" xfId="0" applyFont="1"/>
    <xf numFmtId="0" fontId="0" fillId="3" borderId="4" xfId="0" applyFill="1" applyBorder="1" applyAlignment="1">
      <alignment horizontal="center" vertical="center"/>
    </xf>
    <xf numFmtId="1" fontId="0" fillId="3" borderId="1" xfId="0" applyNumberFormat="1" applyFill="1" applyBorder="1" applyAlignment="1">
      <alignment horizontal="center" vertical="center"/>
    </xf>
    <xf numFmtId="11" fontId="0" fillId="3" borderId="2" xfId="0" applyNumberFormat="1" applyFill="1" applyBorder="1" applyAlignment="1">
      <alignment horizontal="center" vertical="center"/>
    </xf>
    <xf numFmtId="164" fontId="0" fillId="3" borderId="3" xfId="0" applyNumberFormat="1" applyFill="1" applyBorder="1" applyAlignment="1">
      <alignment horizontal="center" vertical="center"/>
    </xf>
    <xf numFmtId="0" fontId="0" fillId="3" borderId="4" xfId="0" applyFill="1" applyBorder="1" applyAlignment="1">
      <alignment horizontal="left" vertical="center"/>
    </xf>
    <xf numFmtId="0" fontId="0" fillId="3" borderId="4" xfId="0" applyFill="1" applyBorder="1" applyAlignment="1">
      <alignment horizontal="left" vertical="center" wrapText="1"/>
    </xf>
    <xf numFmtId="0" fontId="0" fillId="3" borderId="11" xfId="0" applyFill="1" applyBorder="1" applyAlignment="1">
      <alignment horizontal="center" vertical="center"/>
    </xf>
    <xf numFmtId="1" fontId="0" fillId="3" borderId="8" xfId="0" applyNumberFormat="1" applyFill="1" applyBorder="1" applyAlignment="1">
      <alignment horizontal="center" vertical="center"/>
    </xf>
    <xf numFmtId="11" fontId="0" fillId="3" borderId="9" xfId="0" applyNumberFormat="1" applyFill="1" applyBorder="1" applyAlignment="1">
      <alignment horizontal="center" vertical="center"/>
    </xf>
    <xf numFmtId="164" fontId="0" fillId="3" borderId="10" xfId="0" applyNumberFormat="1" applyFill="1" applyBorder="1" applyAlignment="1">
      <alignment horizontal="center" vertical="center"/>
    </xf>
    <xf numFmtId="0" fontId="0" fillId="3" borderId="11" xfId="0" applyFill="1" applyBorder="1" applyAlignment="1">
      <alignment horizontal="left" vertical="center"/>
    </xf>
    <xf numFmtId="0" fontId="0" fillId="3" borderId="11" xfId="0" applyFill="1" applyBorder="1" applyAlignment="1">
      <alignment horizontal="left" vertical="center" wrapText="1"/>
    </xf>
    <xf numFmtId="0" fontId="0" fillId="4" borderId="12" xfId="0" applyFill="1"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164" fontId="0" fillId="4" borderId="13" xfId="0" applyNumberFormat="1" applyFill="1" applyBorder="1" applyAlignment="1">
      <alignment horizontal="center" vertical="center"/>
    </xf>
    <xf numFmtId="11" fontId="0" fillId="4" borderId="14" xfId="0" applyNumberFormat="1" applyFill="1" applyBorder="1" applyAlignment="1">
      <alignment horizontal="center" vertical="center"/>
    </xf>
    <xf numFmtId="0" fontId="0" fillId="4" borderId="15" xfId="0" applyFill="1" applyBorder="1" applyAlignment="1">
      <alignment horizontal="center" vertical="center"/>
    </xf>
    <xf numFmtId="1" fontId="0" fillId="4" borderId="12" xfId="0" applyNumberFormat="1" applyFill="1" applyBorder="1" applyAlignment="1">
      <alignment horizontal="center" vertical="center"/>
    </xf>
    <xf numFmtId="164" fontId="0" fillId="4" borderId="14" xfId="0" applyNumberFormat="1" applyFill="1" applyBorder="1" applyAlignment="1">
      <alignment horizontal="center" vertical="center"/>
    </xf>
    <xf numFmtId="0" fontId="0" fillId="4" borderId="15" xfId="0" applyFill="1" applyBorder="1" applyAlignment="1">
      <alignment horizontal="left" vertical="center"/>
    </xf>
    <xf numFmtId="0" fontId="0" fillId="4" borderId="15" xfId="0" applyFill="1" applyBorder="1" applyAlignment="1">
      <alignment horizontal="left" vertical="center" wrapText="1"/>
    </xf>
    <xf numFmtId="164" fontId="0" fillId="3" borderId="13" xfId="0" applyNumberFormat="1" applyFill="1" applyBorder="1" applyAlignment="1">
      <alignment horizontal="center" vertical="center"/>
    </xf>
    <xf numFmtId="0" fontId="0" fillId="3" borderId="15" xfId="0" applyFill="1" applyBorder="1" applyAlignment="1">
      <alignment horizontal="center" vertical="center"/>
    </xf>
    <xf numFmtId="1" fontId="0" fillId="3" borderId="12" xfId="0" applyNumberFormat="1" applyFill="1" applyBorder="1" applyAlignment="1">
      <alignment horizontal="center" vertical="center"/>
    </xf>
    <xf numFmtId="11" fontId="0" fillId="3" borderId="13" xfId="0" applyNumberFormat="1" applyFill="1" applyBorder="1" applyAlignment="1">
      <alignment horizontal="center" vertical="center"/>
    </xf>
    <xf numFmtId="164" fontId="0" fillId="3" borderId="14" xfId="0" applyNumberFormat="1" applyFill="1" applyBorder="1" applyAlignment="1">
      <alignment horizontal="center" vertical="center"/>
    </xf>
    <xf numFmtId="0" fontId="0" fillId="3" borderId="15" xfId="0" applyFill="1" applyBorder="1" applyAlignment="1">
      <alignment horizontal="left" vertical="center"/>
    </xf>
    <xf numFmtId="0" fontId="0" fillId="3" borderId="15" xfId="0" applyFill="1" applyBorder="1" applyAlignment="1">
      <alignment horizontal="left" vertical="center" wrapText="1"/>
    </xf>
    <xf numFmtId="0" fontId="0" fillId="3" borderId="7" xfId="0" applyFill="1" applyBorder="1" applyAlignment="1">
      <alignment horizontal="center" vertical="center"/>
    </xf>
    <xf numFmtId="1" fontId="0" fillId="3" borderId="5" xfId="0" applyNumberFormat="1" applyFill="1" applyBorder="1" applyAlignment="1">
      <alignment horizontal="center" vertical="center"/>
    </xf>
    <xf numFmtId="11" fontId="0" fillId="3" borderId="0" xfId="0" applyNumberFormat="1" applyFill="1" applyAlignment="1">
      <alignment horizontal="center" vertical="center"/>
    </xf>
    <xf numFmtId="164" fontId="0" fillId="3" borderId="6" xfId="0" applyNumberFormat="1" applyFill="1" applyBorder="1" applyAlignment="1">
      <alignment horizontal="center" vertical="center"/>
    </xf>
    <xf numFmtId="0" fontId="0" fillId="3" borderId="7" xfId="0" applyFill="1" applyBorder="1" applyAlignment="1">
      <alignment horizontal="left" vertical="center"/>
    </xf>
    <xf numFmtId="0" fontId="0" fillId="3" borderId="7" xfId="0" applyFill="1" applyBorder="1" applyAlignment="1">
      <alignment horizontal="left" vertical="center" wrapText="1"/>
    </xf>
    <xf numFmtId="11" fontId="0" fillId="4" borderId="13" xfId="0" applyNumberFormat="1"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164" fontId="0" fillId="4" borderId="2" xfId="0" applyNumberFormat="1" applyFill="1" applyBorder="1" applyAlignment="1">
      <alignment horizontal="center" vertical="center"/>
    </xf>
    <xf numFmtId="11" fontId="0" fillId="4" borderId="3" xfId="0" applyNumberFormat="1" applyFill="1" applyBorder="1" applyAlignment="1">
      <alignment horizontal="center" vertical="center"/>
    </xf>
    <xf numFmtId="0" fontId="0" fillId="4" borderId="4" xfId="0" applyFill="1" applyBorder="1" applyAlignment="1">
      <alignment horizontal="center" vertical="center"/>
    </xf>
    <xf numFmtId="1" fontId="0" fillId="4" borderId="1" xfId="0" applyNumberFormat="1" applyFill="1" applyBorder="1" applyAlignment="1">
      <alignment horizontal="center" vertical="center"/>
    </xf>
    <xf numFmtId="11" fontId="0" fillId="4" borderId="2" xfId="0" applyNumberFormat="1" applyFill="1" applyBorder="1" applyAlignment="1">
      <alignment horizontal="center" vertical="center"/>
    </xf>
    <xf numFmtId="164" fontId="0" fillId="4" borderId="3" xfId="0" applyNumberFormat="1" applyFill="1" applyBorder="1" applyAlignment="1">
      <alignment horizontal="center" vertical="center"/>
    </xf>
    <xf numFmtId="0" fontId="0" fillId="4" borderId="4" xfId="0" applyFill="1" applyBorder="1" applyAlignment="1">
      <alignment horizontal="left" vertical="center"/>
    </xf>
    <xf numFmtId="0" fontId="0" fillId="4" borderId="4" xfId="0" applyFill="1" applyBorder="1" applyAlignment="1">
      <alignment horizontal="left" vertical="center" wrapText="1"/>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10" xfId="0" applyFill="1" applyBorder="1" applyAlignment="1">
      <alignment horizontal="center" vertical="center"/>
    </xf>
    <xf numFmtId="164" fontId="0" fillId="4" borderId="9" xfId="0" applyNumberFormat="1" applyFill="1" applyBorder="1" applyAlignment="1">
      <alignment horizontal="center" vertical="center"/>
    </xf>
    <xf numFmtId="0" fontId="0" fillId="4" borderId="11" xfId="0" applyFill="1" applyBorder="1" applyAlignment="1">
      <alignment horizontal="center" vertical="center"/>
    </xf>
    <xf numFmtId="11" fontId="0" fillId="4" borderId="10" xfId="0" applyNumberFormat="1" applyFill="1" applyBorder="1" applyAlignment="1">
      <alignment horizontal="center" vertical="center"/>
    </xf>
    <xf numFmtId="1" fontId="0" fillId="4" borderId="8" xfId="0" applyNumberFormat="1" applyFill="1" applyBorder="1" applyAlignment="1">
      <alignment horizontal="center" vertical="center"/>
    </xf>
    <xf numFmtId="11" fontId="0" fillId="4" borderId="9" xfId="0" applyNumberFormat="1" applyFill="1" applyBorder="1" applyAlignment="1">
      <alignment horizontal="center" vertical="center"/>
    </xf>
    <xf numFmtId="164" fontId="0" fillId="4" borderId="10" xfId="0" applyNumberFormat="1" applyFill="1" applyBorder="1" applyAlignment="1">
      <alignment horizontal="center" vertical="center"/>
    </xf>
    <xf numFmtId="0" fontId="0" fillId="4" borderId="11" xfId="0" applyFill="1" applyBorder="1" applyAlignment="1">
      <alignment horizontal="left" vertical="center"/>
    </xf>
    <xf numFmtId="0" fontId="0" fillId="4" borderId="11" xfId="0" applyFill="1" applyBorder="1" applyAlignment="1">
      <alignment horizontal="left" vertical="center" wrapText="1"/>
    </xf>
    <xf numFmtId="1" fontId="1" fillId="3" borderId="2" xfId="0" applyNumberFormat="1" applyFont="1" applyFill="1" applyBorder="1" applyAlignment="1">
      <alignment horizontal="center" vertical="center"/>
    </xf>
    <xf numFmtId="0" fontId="0" fillId="0" borderId="5" xfId="0" applyBorder="1" applyAlignment="1">
      <alignment vertical="top"/>
    </xf>
    <xf numFmtId="0" fontId="0" fillId="0" borderId="8" xfId="0" applyBorder="1" applyAlignment="1">
      <alignment vertical="top"/>
    </xf>
    <xf numFmtId="164" fontId="0" fillId="0" borderId="5" xfId="0" applyNumberFormat="1" applyBorder="1" applyAlignment="1">
      <alignment horizontal="center" vertical="center"/>
    </xf>
    <xf numFmtId="164" fontId="0" fillId="0" borderId="8" xfId="0" applyNumberFormat="1" applyBorder="1" applyAlignment="1">
      <alignment horizontal="center" vertical="center"/>
    </xf>
    <xf numFmtId="167" fontId="0" fillId="0" borderId="6" xfId="0" applyNumberFormat="1" applyBorder="1" applyAlignment="1">
      <alignment horizontal="center" vertical="center"/>
    </xf>
    <xf numFmtId="11" fontId="0" fillId="0" borderId="10" xfId="0" applyNumberForma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3" fillId="0" borderId="7" xfId="0" applyFont="1" applyBorder="1" applyAlignment="1">
      <alignment horizontal="center" vertical="center"/>
    </xf>
    <xf numFmtId="0" fontId="13" fillId="0" borderId="11" xfId="0" applyFont="1" applyBorder="1" applyAlignment="1">
      <alignment horizontal="center" vertical="center"/>
    </xf>
    <xf numFmtId="16" fontId="0" fillId="0" borderId="5" xfId="0" quotePrefix="1" applyNumberFormat="1" applyBorder="1" applyAlignment="1">
      <alignment horizontal="center" vertical="center"/>
    </xf>
    <xf numFmtId="17" fontId="0" fillId="0" borderId="5" xfId="0" quotePrefix="1" applyNumberFormat="1" applyBorder="1" applyAlignment="1">
      <alignment horizontal="center" vertical="center"/>
    </xf>
    <xf numFmtId="164" fontId="0" fillId="0" borderId="6" xfId="0" applyNumberFormat="1" applyBorder="1" applyAlignment="1">
      <alignment horizontal="center" vertical="center"/>
    </xf>
    <xf numFmtId="164" fontId="0" fillId="0" borderId="10" xfId="0" applyNumberFormat="1" applyBorder="1" applyAlignment="1">
      <alignment horizontal="center" vertical="center"/>
    </xf>
    <xf numFmtId="0" fontId="0" fillId="0" borderId="5" xfId="0" applyBorder="1" applyAlignment="1">
      <alignment horizontal="center" vertical="center" wrapText="1"/>
    </xf>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6" xfId="0" applyBorder="1" applyAlignment="1">
      <alignment horizontal="center" vertical="center" wrapText="1"/>
    </xf>
    <xf numFmtId="164" fontId="0" fillId="0" borderId="9" xfId="0" applyNumberForma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18" fillId="0" borderId="12" xfId="0" applyFont="1" applyBorder="1" applyAlignment="1">
      <alignment horizontal="center" vertical="center" wrapText="1"/>
    </xf>
    <xf numFmtId="2" fontId="0" fillId="0" borderId="5" xfId="0" applyNumberFormat="1" applyBorder="1" applyAlignment="1">
      <alignment horizontal="center" vertical="center" wrapText="1"/>
    </xf>
    <xf numFmtId="9" fontId="0" fillId="0" borderId="6" xfId="1" applyFont="1" applyBorder="1" applyAlignment="1">
      <alignment horizontal="center" vertical="center" wrapText="1"/>
    </xf>
    <xf numFmtId="2" fontId="0" fillId="0" borderId="8" xfId="0" applyNumberFormat="1" applyBorder="1" applyAlignment="1">
      <alignment horizontal="center" vertical="center" wrapText="1"/>
    </xf>
    <xf numFmtId="9" fontId="0" fillId="0" borderId="10" xfId="1" applyFont="1" applyBorder="1" applyAlignment="1">
      <alignment horizontal="center" vertical="center" wrapText="1"/>
    </xf>
    <xf numFmtId="165" fontId="0" fillId="0" borderId="0" xfId="0" applyNumberFormat="1"/>
    <xf numFmtId="167" fontId="0" fillId="0" borderId="0" xfId="0" applyNumberFormat="1" applyAlignment="1">
      <alignment horizontal="center" vertical="center"/>
    </xf>
    <xf numFmtId="167" fontId="0" fillId="0" borderId="9" xfId="0" applyNumberFormat="1" applyBorder="1" applyAlignment="1">
      <alignment horizontal="center" vertical="center"/>
    </xf>
    <xf numFmtId="0" fontId="1" fillId="6" borderId="1"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12" xfId="0" applyFont="1" applyFill="1" applyBorder="1" applyAlignment="1">
      <alignment horizontal="center" vertical="center"/>
    </xf>
    <xf numFmtId="0" fontId="1" fillId="6" borderId="13" xfId="0" applyFont="1" applyFill="1" applyBorder="1" applyAlignment="1">
      <alignment horizontal="center" vertical="center" wrapText="1"/>
    </xf>
    <xf numFmtId="0" fontId="1" fillId="6" borderId="13" xfId="0" applyFont="1" applyFill="1" applyBorder="1" applyAlignment="1">
      <alignment horizontal="center" vertical="center"/>
    </xf>
    <xf numFmtId="0" fontId="1" fillId="6" borderId="14" xfId="0" applyFont="1" applyFill="1" applyBorder="1" applyAlignment="1">
      <alignment horizontal="center" vertical="center"/>
    </xf>
    <xf numFmtId="0" fontId="13" fillId="3" borderId="16" xfId="0" applyFont="1" applyFill="1" applyBorder="1" applyAlignment="1">
      <alignment horizontal="center" vertical="center"/>
    </xf>
    <xf numFmtId="0" fontId="13" fillId="3" borderId="17" xfId="0" applyFont="1" applyFill="1" applyBorder="1" applyAlignment="1">
      <alignment horizontal="center" vertical="center"/>
    </xf>
    <xf numFmtId="0" fontId="13" fillId="3" borderId="17"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20"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1" xfId="0" applyFont="1" applyFill="1" applyBorder="1" applyAlignment="1">
      <alignment horizontal="center" vertical="center" wrapText="1"/>
    </xf>
    <xf numFmtId="0" fontId="21" fillId="3" borderId="20"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2" fillId="0" borderId="0" xfId="0" applyFont="1" applyAlignment="1">
      <alignment horizontal="center"/>
    </xf>
    <xf numFmtId="0" fontId="22" fillId="0" borderId="9" xfId="0" applyFont="1" applyBorder="1" applyAlignment="1">
      <alignment horizontal="center"/>
    </xf>
    <xf numFmtId="0" fontId="0" fillId="3" borderId="8" xfId="0" applyFill="1" applyBorder="1" applyAlignment="1">
      <alignment horizontal="center" vertical="center" wrapText="1"/>
    </xf>
    <xf numFmtId="165" fontId="0" fillId="3" borderId="1" xfId="1" applyNumberFormat="1" applyFont="1" applyFill="1" applyBorder="1" applyAlignment="1">
      <alignment horizontal="center" vertical="center"/>
    </xf>
    <xf numFmtId="165" fontId="0" fillId="3" borderId="2" xfId="1" applyNumberFormat="1" applyFont="1" applyFill="1" applyBorder="1" applyAlignment="1">
      <alignment horizontal="center" vertical="center"/>
    </xf>
    <xf numFmtId="165" fontId="0" fillId="3" borderId="3" xfId="1" applyNumberFormat="1" applyFont="1" applyFill="1" applyBorder="1" applyAlignment="1">
      <alignment horizontal="center" vertical="center"/>
    </xf>
    <xf numFmtId="165" fontId="0" fillId="3" borderId="8" xfId="1" applyNumberFormat="1" applyFont="1" applyFill="1" applyBorder="1" applyAlignment="1">
      <alignment horizontal="center" vertical="center"/>
    </xf>
    <xf numFmtId="165" fontId="0" fillId="3" borderId="9" xfId="1" applyNumberFormat="1" applyFont="1" applyFill="1" applyBorder="1" applyAlignment="1">
      <alignment horizontal="center" vertical="center"/>
    </xf>
    <xf numFmtId="165" fontId="8" fillId="3" borderId="10" xfId="1" applyNumberFormat="1" applyFont="1" applyFill="1" applyBorder="1" applyAlignment="1">
      <alignment horizontal="center" vertical="center"/>
    </xf>
    <xf numFmtId="165" fontId="0" fillId="3" borderId="5" xfId="1" applyNumberFormat="1" applyFont="1" applyFill="1" applyBorder="1" applyAlignment="1">
      <alignment horizontal="center" vertical="center"/>
    </xf>
    <xf numFmtId="165" fontId="0" fillId="3" borderId="0" xfId="1" applyNumberFormat="1" applyFont="1" applyFill="1" applyBorder="1" applyAlignment="1">
      <alignment horizontal="center" vertical="center"/>
    </xf>
    <xf numFmtId="165" fontId="0" fillId="3" borderId="6" xfId="1" applyNumberFormat="1" applyFont="1" applyFill="1" applyBorder="1" applyAlignment="1">
      <alignment horizontal="center" vertical="center"/>
    </xf>
    <xf numFmtId="0" fontId="0" fillId="3" borderId="25" xfId="0" applyFill="1" applyBorder="1" applyAlignment="1">
      <alignment horizontal="center" vertical="center"/>
    </xf>
    <xf numFmtId="0" fontId="0" fillId="3" borderId="26" xfId="0" applyFill="1" applyBorder="1" applyAlignment="1">
      <alignment horizontal="center" vertical="center"/>
    </xf>
    <xf numFmtId="164" fontId="0" fillId="3" borderId="26" xfId="0" applyNumberFormat="1" applyFill="1" applyBorder="1" applyAlignment="1">
      <alignment horizontal="center" vertical="center"/>
    </xf>
    <xf numFmtId="11" fontId="0" fillId="3" borderId="27" xfId="0" applyNumberFormat="1" applyFill="1" applyBorder="1" applyAlignment="1">
      <alignment horizontal="center" vertical="center"/>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0" fillId="3" borderId="30" xfId="0" applyFill="1" applyBorder="1" applyAlignment="1">
      <alignment horizontal="center" vertical="center"/>
    </xf>
    <xf numFmtId="164" fontId="0" fillId="3" borderId="30" xfId="0" applyNumberFormat="1" applyFill="1" applyBorder="1" applyAlignment="1">
      <alignment horizontal="center" vertical="center"/>
    </xf>
    <xf numFmtId="11" fontId="0" fillId="3" borderId="31" xfId="0" applyNumberFormat="1" applyFill="1" applyBorder="1" applyAlignment="1">
      <alignment horizontal="center" vertical="center"/>
    </xf>
    <xf numFmtId="0" fontId="0" fillId="3" borderId="32" xfId="0" applyFill="1" applyBorder="1" applyAlignment="1">
      <alignment horizontal="center" vertical="center"/>
    </xf>
    <xf numFmtId="0" fontId="0" fillId="3" borderId="33" xfId="0" applyFill="1" applyBorder="1" applyAlignment="1">
      <alignment horizontal="center" vertical="center"/>
    </xf>
    <xf numFmtId="0" fontId="0" fillId="3" borderId="34" xfId="0" applyFill="1" applyBorder="1" applyAlignment="1">
      <alignment horizontal="center" vertical="center"/>
    </xf>
    <xf numFmtId="164" fontId="0" fillId="3" borderId="34" xfId="0" applyNumberFormat="1" applyFill="1" applyBorder="1" applyAlignment="1">
      <alignment horizontal="center" vertical="center"/>
    </xf>
    <xf numFmtId="11" fontId="0" fillId="3" borderId="35" xfId="0" applyNumberFormat="1" applyFill="1" applyBorder="1" applyAlignment="1">
      <alignment horizontal="center" vertical="center"/>
    </xf>
    <xf numFmtId="0" fontId="0" fillId="3" borderId="36" xfId="0" applyFill="1" applyBorder="1" applyAlignment="1">
      <alignment horizontal="center" vertical="center"/>
    </xf>
    <xf numFmtId="0" fontId="0" fillId="5" borderId="29" xfId="0" applyFill="1" applyBorder="1" applyAlignment="1">
      <alignment horizontal="center" vertical="center"/>
    </xf>
    <xf numFmtId="0" fontId="0" fillId="5" borderId="30" xfId="0" applyFill="1" applyBorder="1" applyAlignment="1">
      <alignment horizontal="center" vertical="center"/>
    </xf>
    <xf numFmtId="164" fontId="0" fillId="5" borderId="30" xfId="0" applyNumberFormat="1" applyFill="1" applyBorder="1" applyAlignment="1">
      <alignment horizontal="center" vertical="center"/>
    </xf>
    <xf numFmtId="11" fontId="0" fillId="5" borderId="31" xfId="0" applyNumberFormat="1" applyFill="1" applyBorder="1" applyAlignment="1">
      <alignment horizontal="center" vertical="center"/>
    </xf>
    <xf numFmtId="0" fontId="0" fillId="5" borderId="32" xfId="0" applyFill="1" applyBorder="1" applyAlignment="1">
      <alignment horizontal="center" vertical="center"/>
    </xf>
    <xf numFmtId="0" fontId="0" fillId="3" borderId="25" xfId="0" applyFill="1" applyBorder="1" applyAlignment="1">
      <alignment horizontal="center" vertical="center" wrapText="1"/>
    </xf>
    <xf numFmtId="0" fontId="0" fillId="3" borderId="27" xfId="0" applyFill="1" applyBorder="1" applyAlignment="1">
      <alignment horizontal="center" vertical="center" wrapText="1"/>
    </xf>
    <xf numFmtId="0" fontId="0" fillId="3" borderId="29" xfId="0" applyFill="1" applyBorder="1" applyAlignment="1">
      <alignment horizontal="center" vertical="center" wrapText="1"/>
    </xf>
    <xf numFmtId="0" fontId="0" fillId="3" borderId="31" xfId="0" applyFill="1" applyBorder="1" applyAlignment="1">
      <alignment horizontal="center" vertical="center" wrapText="1"/>
    </xf>
    <xf numFmtId="0" fontId="0" fillId="5" borderId="29" xfId="0" applyFill="1" applyBorder="1" applyAlignment="1">
      <alignment horizontal="center" vertical="center" wrapText="1"/>
    </xf>
    <xf numFmtId="0" fontId="0" fillId="5" borderId="31" xfId="0" applyFill="1" applyBorder="1" applyAlignment="1">
      <alignment horizontal="center" vertical="center" wrapText="1"/>
    </xf>
    <xf numFmtId="0" fontId="0" fillId="3" borderId="33" xfId="0" applyFill="1" applyBorder="1" applyAlignment="1">
      <alignment horizontal="center" vertical="center" wrapText="1"/>
    </xf>
    <xf numFmtId="0" fontId="0" fillId="3" borderId="35" xfId="0" applyFill="1" applyBorder="1" applyAlignment="1">
      <alignment horizontal="center" vertical="center" wrapText="1"/>
    </xf>
    <xf numFmtId="0" fontId="13" fillId="3" borderId="22" xfId="0" applyFont="1" applyFill="1" applyBorder="1" applyAlignment="1">
      <alignment horizontal="center" vertical="center"/>
    </xf>
    <xf numFmtId="0" fontId="13" fillId="3" borderId="23" xfId="0" applyFont="1" applyFill="1" applyBorder="1" applyAlignment="1">
      <alignment horizontal="center" vertical="center"/>
    </xf>
    <xf numFmtId="0" fontId="13" fillId="3" borderId="23"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0" fillId="0" borderId="5" xfId="0" applyBorder="1" applyAlignment="1">
      <alignment vertical="center" wrapText="1"/>
    </xf>
    <xf numFmtId="0" fontId="0" fillId="0" borderId="8" xfId="0" applyBorder="1" applyAlignment="1">
      <alignment vertical="center" wrapText="1"/>
    </xf>
    <xf numFmtId="0" fontId="0" fillId="4" borderId="5" xfId="0" applyFill="1" applyBorder="1" applyAlignment="1">
      <alignment vertical="center" wrapText="1"/>
    </xf>
    <xf numFmtId="0" fontId="0" fillId="4" borderId="6" xfId="0" applyFill="1" applyBorder="1" applyAlignment="1">
      <alignment horizontal="left" vertical="center"/>
    </xf>
    <xf numFmtId="0" fontId="0" fillId="4" borderId="6" xfId="0" applyFill="1" applyBorder="1" applyAlignment="1">
      <alignment horizontal="center" vertical="center"/>
    </xf>
    <xf numFmtId="0" fontId="0" fillId="7" borderId="5" xfId="0" applyFill="1" applyBorder="1" applyAlignment="1">
      <alignment vertical="center" wrapText="1"/>
    </xf>
    <xf numFmtId="0" fontId="0" fillId="7" borderId="6" xfId="0" applyFill="1" applyBorder="1" applyAlignment="1">
      <alignment horizontal="left" vertical="center"/>
    </xf>
    <xf numFmtId="0" fontId="0" fillId="7" borderId="6" xfId="0" applyFill="1" applyBorder="1" applyAlignment="1">
      <alignment horizontal="center" vertical="center"/>
    </xf>
    <xf numFmtId="0" fontId="0" fillId="4" borderId="1" xfId="0" applyFill="1" applyBorder="1" applyAlignment="1">
      <alignment vertical="center" wrapText="1"/>
    </xf>
    <xf numFmtId="0" fontId="0" fillId="4" borderId="2" xfId="0" applyFill="1" applyBorder="1" applyAlignment="1">
      <alignment vertical="center"/>
    </xf>
    <xf numFmtId="0" fontId="0" fillId="4" borderId="3" xfId="0" applyFill="1" applyBorder="1" applyAlignment="1">
      <alignment horizontal="left" vertical="center"/>
    </xf>
    <xf numFmtId="0" fontId="0" fillId="4" borderId="0" xfId="0" applyFill="1" applyAlignment="1">
      <alignment vertical="center"/>
    </xf>
    <xf numFmtId="164" fontId="0" fillId="4" borderId="0" xfId="0" applyNumberFormat="1" applyFill="1" applyAlignment="1">
      <alignment horizontal="center" vertical="center"/>
    </xf>
    <xf numFmtId="11" fontId="0" fillId="4" borderId="0" xfId="0" applyNumberFormat="1" applyFill="1" applyAlignment="1">
      <alignment horizontal="center" vertical="center"/>
    </xf>
    <xf numFmtId="0" fontId="0" fillId="4" borderId="0" xfId="0" applyFill="1" applyAlignment="1">
      <alignment horizontal="center" vertical="center"/>
    </xf>
    <xf numFmtId="0" fontId="0" fillId="4" borderId="8" xfId="0" applyFill="1" applyBorder="1" applyAlignment="1">
      <alignment vertical="center" wrapText="1"/>
    </xf>
    <xf numFmtId="0" fontId="0" fillId="4" borderId="9" xfId="0" applyFill="1" applyBorder="1" applyAlignment="1">
      <alignment vertical="center"/>
    </xf>
    <xf numFmtId="0" fontId="0" fillId="4" borderId="10" xfId="0" applyFill="1" applyBorder="1" applyAlignment="1">
      <alignment horizontal="left" vertical="center"/>
    </xf>
    <xf numFmtId="0" fontId="0" fillId="7" borderId="1" xfId="0" applyFill="1" applyBorder="1" applyAlignment="1">
      <alignment vertical="center" wrapText="1"/>
    </xf>
    <xf numFmtId="0" fontId="0" fillId="7" borderId="2" xfId="0" applyFill="1" applyBorder="1" applyAlignment="1">
      <alignment vertical="center"/>
    </xf>
    <xf numFmtId="0" fontId="0" fillId="7" borderId="3" xfId="0" applyFill="1" applyBorder="1" applyAlignment="1">
      <alignment horizontal="left" vertical="center"/>
    </xf>
    <xf numFmtId="164" fontId="0" fillId="7" borderId="2" xfId="0" applyNumberFormat="1" applyFill="1" applyBorder="1" applyAlignment="1">
      <alignment horizontal="center" vertical="center"/>
    </xf>
    <xf numFmtId="11" fontId="0" fillId="7" borderId="2" xfId="0" applyNumberFormat="1"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7" borderId="0" xfId="0" applyFill="1" applyAlignment="1">
      <alignment vertical="center"/>
    </xf>
    <xf numFmtId="164" fontId="0" fillId="7" borderId="0" xfId="0" applyNumberFormat="1" applyFill="1" applyAlignment="1">
      <alignment horizontal="center" vertical="center"/>
    </xf>
    <xf numFmtId="11" fontId="0" fillId="7" borderId="0" xfId="0" applyNumberFormat="1" applyFill="1" applyAlignment="1">
      <alignment horizontal="center" vertical="center"/>
    </xf>
    <xf numFmtId="0" fontId="0" fillId="7" borderId="0" xfId="0" applyFill="1" applyAlignment="1">
      <alignment horizontal="center" vertical="center"/>
    </xf>
    <xf numFmtId="0" fontId="0" fillId="7" borderId="8" xfId="0" applyFill="1" applyBorder="1" applyAlignment="1">
      <alignment vertical="center" wrapText="1"/>
    </xf>
    <xf numFmtId="0" fontId="0" fillId="7" borderId="9" xfId="0" applyFill="1" applyBorder="1" applyAlignment="1">
      <alignment vertical="center"/>
    </xf>
    <xf numFmtId="0" fontId="0" fillId="7" borderId="10" xfId="0" applyFill="1" applyBorder="1" applyAlignment="1">
      <alignment horizontal="left" vertical="center"/>
    </xf>
    <xf numFmtId="164" fontId="0" fillId="7" borderId="9" xfId="0" applyNumberFormat="1" applyFill="1" applyBorder="1" applyAlignment="1">
      <alignment horizontal="center" vertical="center"/>
    </xf>
    <xf numFmtId="11" fontId="0" fillId="7" borderId="9" xfId="0" applyNumberFormat="1" applyFill="1" applyBorder="1" applyAlignment="1">
      <alignment horizontal="center" vertical="center"/>
    </xf>
    <xf numFmtId="0" fontId="0" fillId="7" borderId="9" xfId="0" applyFill="1" applyBorder="1" applyAlignment="1">
      <alignment horizontal="center" vertical="center"/>
    </xf>
    <xf numFmtId="0" fontId="0" fillId="7" borderId="10" xfId="0" applyFill="1" applyBorder="1" applyAlignment="1">
      <alignment horizontal="center" vertical="center"/>
    </xf>
    <xf numFmtId="0" fontId="24" fillId="0" borderId="0" xfId="2"/>
    <xf numFmtId="0" fontId="18" fillId="0" borderId="13" xfId="0" applyFont="1" applyBorder="1" applyAlignment="1">
      <alignment horizontal="center" vertical="center" wrapText="1"/>
    </xf>
    <xf numFmtId="1" fontId="0" fillId="0" borderId="0" xfId="0" applyNumberFormat="1" applyAlignment="1">
      <alignment horizontal="center" vertical="center" wrapText="1"/>
    </xf>
    <xf numFmtId="0" fontId="13" fillId="5" borderId="12" xfId="0" applyFont="1" applyFill="1" applyBorder="1" applyAlignment="1">
      <alignment horizontal="center" vertical="center"/>
    </xf>
    <xf numFmtId="0" fontId="13" fillId="5" borderId="13" xfId="0" applyFont="1" applyFill="1" applyBorder="1" applyAlignment="1">
      <alignment horizontal="center" vertical="center"/>
    </xf>
    <xf numFmtId="0" fontId="13" fillId="5" borderId="7"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5" xfId="0" applyFont="1" applyFill="1" applyBorder="1" applyAlignment="1">
      <alignment horizontal="center" vertical="center"/>
    </xf>
    <xf numFmtId="0" fontId="13" fillId="3" borderId="0" xfId="0" applyFont="1" applyFill="1" applyAlignment="1">
      <alignment horizontal="center" vertical="center"/>
    </xf>
    <xf numFmtId="0" fontId="13" fillId="3" borderId="6" xfId="0" applyFont="1" applyFill="1" applyBorder="1" applyAlignment="1">
      <alignment horizontal="center" vertical="center"/>
    </xf>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5" xfId="0" applyFont="1" applyFill="1" applyBorder="1" applyAlignment="1">
      <alignment horizontal="center" vertical="center"/>
    </xf>
    <xf numFmtId="0" fontId="13" fillId="5" borderId="0" xfId="0" applyFont="1" applyFill="1" applyAlignment="1">
      <alignment horizontal="center" vertical="center"/>
    </xf>
    <xf numFmtId="0" fontId="13" fillId="5" borderId="8" xfId="0" applyFont="1" applyFill="1" applyBorder="1" applyAlignment="1">
      <alignment horizontal="center" vertical="center"/>
    </xf>
    <xf numFmtId="0" fontId="13" fillId="5" borderId="9"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9" xfId="0" applyFont="1" applyFill="1" applyBorder="1" applyAlignment="1">
      <alignment horizontal="center" vertical="center"/>
    </xf>
    <xf numFmtId="0" fontId="13" fillId="3" borderId="10" xfId="0" applyFont="1" applyFill="1" applyBorder="1" applyAlignment="1">
      <alignment horizontal="center" vertical="center"/>
    </xf>
    <xf numFmtId="166" fontId="0" fillId="4" borderId="13" xfId="0" applyNumberFormat="1" applyFill="1" applyBorder="1" applyAlignment="1">
      <alignment horizontal="center" vertical="center"/>
    </xf>
    <xf numFmtId="166" fontId="0" fillId="3" borderId="13" xfId="0" applyNumberFormat="1" applyFill="1" applyBorder="1" applyAlignment="1">
      <alignment horizontal="center" vertical="center"/>
    </xf>
    <xf numFmtId="166" fontId="0" fillId="4" borderId="2" xfId="0" applyNumberFormat="1" applyFill="1" applyBorder="1" applyAlignment="1">
      <alignment horizontal="center" vertical="center"/>
    </xf>
    <xf numFmtId="166" fontId="0" fillId="4" borderId="9" xfId="0" applyNumberFormat="1" applyFill="1" applyBorder="1" applyAlignment="1">
      <alignment horizontal="center" vertical="center"/>
    </xf>
    <xf numFmtId="168" fontId="0" fillId="3" borderId="3" xfId="0" applyNumberFormat="1" applyFill="1" applyBorder="1" applyAlignment="1">
      <alignment horizontal="center" vertical="center"/>
    </xf>
    <xf numFmtId="168" fontId="0" fillId="3" borderId="14" xfId="0" applyNumberFormat="1" applyFill="1" applyBorder="1" applyAlignment="1">
      <alignment horizontal="center" vertical="center"/>
    </xf>
    <xf numFmtId="0" fontId="0" fillId="0" borderId="3" xfId="0" applyBorder="1" applyAlignment="1">
      <alignment horizontal="center" vertical="center"/>
    </xf>
    <xf numFmtId="0" fontId="1" fillId="0" borderId="12" xfId="0" applyFont="1" applyBorder="1"/>
    <xf numFmtId="11" fontId="0" fillId="0" borderId="13" xfId="0" applyNumberFormat="1" applyBorder="1" applyAlignment="1">
      <alignment horizontal="center" vertical="center"/>
    </xf>
    <xf numFmtId="168" fontId="0" fillId="8" borderId="6" xfId="0" applyNumberFormat="1" applyFill="1" applyBorder="1" applyAlignment="1">
      <alignment horizontal="center" vertical="center"/>
    </xf>
    <xf numFmtId="164" fontId="0" fillId="8" borderId="6" xfId="0" applyNumberFormat="1" applyFill="1" applyBorder="1" applyAlignment="1">
      <alignment horizontal="center" vertical="center"/>
    </xf>
    <xf numFmtId="164" fontId="13" fillId="3" borderId="2" xfId="0" applyNumberFormat="1" applyFont="1" applyFill="1" applyBorder="1" applyAlignment="1">
      <alignment horizontal="center" vertical="center"/>
    </xf>
    <xf numFmtId="164" fontId="13" fillId="3" borderId="0" xfId="0" applyNumberFormat="1" applyFont="1" applyFill="1" applyAlignment="1">
      <alignment horizontal="center" vertical="center"/>
    </xf>
    <xf numFmtId="164" fontId="13" fillId="5" borderId="0" xfId="0" applyNumberFormat="1" applyFont="1" applyFill="1" applyAlignment="1">
      <alignment horizontal="center" vertical="center"/>
    </xf>
    <xf numFmtId="164" fontId="13" fillId="3" borderId="9" xfId="0" applyNumberFormat="1" applyFont="1" applyFill="1" applyBorder="1" applyAlignment="1">
      <alignment horizontal="center" vertical="center"/>
    </xf>
    <xf numFmtId="164" fontId="13" fillId="5" borderId="9" xfId="0" applyNumberFormat="1" applyFont="1" applyFill="1" applyBorder="1" applyAlignment="1">
      <alignment horizontal="center" vertical="center"/>
    </xf>
    <xf numFmtId="164" fontId="13" fillId="5" borderId="13" xfId="0" applyNumberFormat="1" applyFont="1" applyFill="1" applyBorder="1" applyAlignment="1">
      <alignment horizontal="center" vertical="center"/>
    </xf>
    <xf numFmtId="164" fontId="13" fillId="5" borderId="2" xfId="0" applyNumberFormat="1" applyFont="1" applyFill="1" applyBorder="1" applyAlignment="1">
      <alignment horizontal="center" vertical="center"/>
    </xf>
    <xf numFmtId="166" fontId="13" fillId="3" borderId="6" xfId="0" applyNumberFormat="1" applyFont="1" applyFill="1" applyBorder="1" applyAlignment="1">
      <alignment horizontal="center" vertical="center"/>
    </xf>
    <xf numFmtId="166" fontId="13" fillId="3" borderId="10" xfId="0" applyNumberFormat="1" applyFont="1" applyFill="1" applyBorder="1" applyAlignment="1">
      <alignment horizontal="center" vertical="center"/>
    </xf>
    <xf numFmtId="0" fontId="13" fillId="3" borderId="0" xfId="0" applyFont="1" applyFill="1" applyAlignment="1">
      <alignment horizontal="left" vertical="center" wrapText="1"/>
    </xf>
    <xf numFmtId="0" fontId="13" fillId="3" borderId="9" xfId="0" applyFont="1" applyFill="1" applyBorder="1" applyAlignment="1">
      <alignment horizontal="left" vertical="center" wrapText="1"/>
    </xf>
    <xf numFmtId="166" fontId="13" fillId="3" borderId="0" xfId="0" applyNumberFormat="1" applyFont="1" applyFill="1" applyAlignment="1">
      <alignment horizontal="center" vertical="center"/>
    </xf>
    <xf numFmtId="166" fontId="13" fillId="3" borderId="9" xfId="0" applyNumberFormat="1" applyFont="1" applyFill="1" applyBorder="1" applyAlignment="1">
      <alignment horizontal="center" vertical="center"/>
    </xf>
    <xf numFmtId="0" fontId="1" fillId="2" borderId="4" xfId="0" applyFont="1" applyFill="1" applyBorder="1" applyAlignment="1">
      <alignment horizontal="center" vertical="center"/>
    </xf>
    <xf numFmtId="0" fontId="1" fillId="2" borderId="11"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4" xfId="0" applyFont="1" applyFill="1" applyBorder="1" applyAlignment="1">
      <alignment horizontal="center" vertical="center"/>
    </xf>
    <xf numFmtId="11" fontId="13" fillId="3" borderId="7" xfId="0" applyNumberFormat="1" applyFont="1" applyFill="1" applyBorder="1" applyAlignment="1">
      <alignment horizontal="center" vertical="center"/>
    </xf>
    <xf numFmtId="11" fontId="13" fillId="5" borderId="15" xfId="0" applyNumberFormat="1" applyFont="1" applyFill="1" applyBorder="1" applyAlignment="1">
      <alignment horizontal="center" vertical="center"/>
    </xf>
    <xf numFmtId="0" fontId="13" fillId="5" borderId="4" xfId="0" applyFont="1" applyFill="1" applyBorder="1" applyAlignment="1">
      <alignment horizontal="center" vertical="center"/>
    </xf>
    <xf numFmtId="11" fontId="13" fillId="5" borderId="7" xfId="0" applyNumberFormat="1" applyFont="1" applyFill="1" applyBorder="1" applyAlignment="1">
      <alignment horizontal="center" vertical="center"/>
    </xf>
    <xf numFmtId="11" fontId="13" fillId="5" borderId="11" xfId="0" applyNumberFormat="1" applyFont="1" applyFill="1" applyBorder="1" applyAlignment="1">
      <alignment horizontal="center" vertical="center"/>
    </xf>
    <xf numFmtId="11" fontId="13" fillId="5" borderId="4" xfId="0" applyNumberFormat="1" applyFont="1" applyFill="1" applyBorder="1" applyAlignment="1">
      <alignment horizontal="center" vertical="center"/>
    </xf>
    <xf numFmtId="0" fontId="13" fillId="5" borderId="11" xfId="0" applyFont="1" applyFill="1" applyBorder="1" applyAlignment="1">
      <alignment horizontal="center" vertical="center"/>
    </xf>
    <xf numFmtId="11" fontId="13" fillId="3" borderId="11" xfId="0" applyNumberFormat="1" applyFont="1" applyFill="1" applyBorder="1" applyAlignment="1">
      <alignment horizontal="center" vertical="center"/>
    </xf>
    <xf numFmtId="0" fontId="13" fillId="5" borderId="15" xfId="0" applyFont="1" applyFill="1" applyBorder="1" applyAlignment="1">
      <alignment horizontal="center" vertical="center"/>
    </xf>
    <xf numFmtId="11" fontId="13" fillId="3" borderId="4" xfId="0" applyNumberFormat="1" applyFont="1" applyFill="1" applyBorder="1" applyAlignment="1">
      <alignment horizontal="center" vertical="center"/>
    </xf>
    <xf numFmtId="0" fontId="1" fillId="2" borderId="37" xfId="0" applyFont="1" applyFill="1" applyBorder="1" applyAlignment="1">
      <alignment horizontal="centerContinuous"/>
    </xf>
    <xf numFmtId="0" fontId="1" fillId="2" borderId="38" xfId="0" applyFont="1" applyFill="1" applyBorder="1" applyAlignment="1">
      <alignment horizontal="centerContinuous"/>
    </xf>
    <xf numFmtId="0" fontId="1" fillId="2" borderId="39" xfId="0" applyFont="1" applyFill="1" applyBorder="1" applyAlignment="1">
      <alignment horizontal="centerContinuous"/>
    </xf>
    <xf numFmtId="0" fontId="1" fillId="2" borderId="40" xfId="0" applyFont="1" applyFill="1" applyBorder="1" applyAlignment="1">
      <alignment horizontal="centerContinuous"/>
    </xf>
    <xf numFmtId="0" fontId="13" fillId="3" borderId="43" xfId="0" applyFont="1" applyFill="1" applyBorder="1" applyAlignment="1">
      <alignment horizontal="center" vertical="center"/>
    </xf>
    <xf numFmtId="164" fontId="13" fillId="3" borderId="44" xfId="0" applyNumberFormat="1" applyFont="1" applyFill="1" applyBorder="1" applyAlignment="1">
      <alignment horizontal="center" vertical="center"/>
    </xf>
    <xf numFmtId="0" fontId="13" fillId="3" borderId="45" xfId="0" applyFont="1" applyFill="1" applyBorder="1" applyAlignment="1">
      <alignment horizontal="center" vertical="center"/>
    </xf>
    <xf numFmtId="164" fontId="13" fillId="3" borderId="46" xfId="0" applyNumberFormat="1" applyFont="1" applyFill="1" applyBorder="1" applyAlignment="1">
      <alignment horizontal="center" vertical="center"/>
    </xf>
    <xf numFmtId="0" fontId="13" fillId="3" borderId="41" xfId="0" applyFont="1" applyFill="1" applyBorder="1" applyAlignment="1">
      <alignment horizontal="center" vertical="center"/>
    </xf>
    <xf numFmtId="164" fontId="13" fillId="3" borderId="42" xfId="0" applyNumberFormat="1" applyFont="1" applyFill="1" applyBorder="1" applyAlignment="1">
      <alignment horizontal="center" vertical="center"/>
    </xf>
    <xf numFmtId="0" fontId="13" fillId="5" borderId="47" xfId="0" applyFont="1" applyFill="1" applyBorder="1" applyAlignment="1">
      <alignment horizontal="center" vertical="center"/>
    </xf>
    <xf numFmtId="164" fontId="13" fillId="5" borderId="48" xfId="0" applyNumberFormat="1" applyFont="1" applyFill="1" applyBorder="1" applyAlignment="1">
      <alignment horizontal="center" vertical="center"/>
    </xf>
    <xf numFmtId="0" fontId="13" fillId="5" borderId="43" xfId="0" applyFont="1" applyFill="1" applyBorder="1" applyAlignment="1">
      <alignment horizontal="center" vertical="center"/>
    </xf>
    <xf numFmtId="164" fontId="13" fillId="5" borderId="44" xfId="0" applyNumberFormat="1" applyFont="1" applyFill="1" applyBorder="1" applyAlignment="1">
      <alignment horizontal="center" vertical="center"/>
    </xf>
    <xf numFmtId="0" fontId="13" fillId="5" borderId="45" xfId="0" applyFont="1" applyFill="1" applyBorder="1" applyAlignment="1">
      <alignment horizontal="center" vertical="center"/>
    </xf>
    <xf numFmtId="164" fontId="13" fillId="5" borderId="46" xfId="0" applyNumberFormat="1" applyFont="1" applyFill="1" applyBorder="1" applyAlignment="1">
      <alignment horizontal="center" vertical="center"/>
    </xf>
    <xf numFmtId="0" fontId="13" fillId="5" borderId="41" xfId="0" applyFont="1" applyFill="1" applyBorder="1" applyAlignment="1">
      <alignment horizontal="center" vertical="center"/>
    </xf>
    <xf numFmtId="164" fontId="13" fillId="5" borderId="42" xfId="0" applyNumberFormat="1" applyFont="1" applyFill="1" applyBorder="1" applyAlignment="1">
      <alignment horizontal="center" vertical="center"/>
    </xf>
    <xf numFmtId="0" fontId="13" fillId="3" borderId="49" xfId="0" applyFont="1" applyFill="1" applyBorder="1" applyAlignment="1">
      <alignment horizontal="center" vertical="center"/>
    </xf>
    <xf numFmtId="0" fontId="13" fillId="3" borderId="51" xfId="0" applyFont="1" applyFill="1" applyBorder="1" applyAlignment="1">
      <alignment horizontal="center" vertical="center"/>
    </xf>
    <xf numFmtId="0" fontId="13" fillId="3" borderId="52" xfId="0" applyFont="1" applyFill="1" applyBorder="1" applyAlignment="1">
      <alignment horizontal="center" vertical="center"/>
    </xf>
    <xf numFmtId="164" fontId="13" fillId="3" borderId="52" xfId="0" applyNumberFormat="1" applyFont="1" applyFill="1" applyBorder="1" applyAlignment="1">
      <alignment horizontal="center" vertical="center"/>
    </xf>
    <xf numFmtId="164" fontId="13" fillId="3" borderId="53" xfId="0" applyNumberFormat="1" applyFont="1" applyFill="1" applyBorder="1" applyAlignment="1">
      <alignment horizontal="center" vertical="center"/>
    </xf>
    <xf numFmtId="0" fontId="13" fillId="3" borderId="54" xfId="0" applyFont="1" applyFill="1" applyBorder="1" applyAlignment="1">
      <alignment horizontal="center" vertical="center"/>
    </xf>
    <xf numFmtId="0" fontId="1" fillId="2" borderId="55" xfId="0" applyFont="1" applyFill="1" applyBorder="1" applyAlignment="1">
      <alignment horizontal="center"/>
    </xf>
    <xf numFmtId="0" fontId="1" fillId="2" borderId="56" xfId="0" applyFont="1" applyFill="1" applyBorder="1" applyAlignment="1">
      <alignment horizontal="center"/>
    </xf>
    <xf numFmtId="0" fontId="13" fillId="3" borderId="58" xfId="0" applyFont="1" applyFill="1" applyBorder="1" applyAlignment="1">
      <alignment horizontal="center" vertical="center"/>
    </xf>
    <xf numFmtId="0" fontId="13" fillId="3" borderId="44" xfId="0" applyFont="1" applyFill="1" applyBorder="1" applyAlignment="1">
      <alignment horizontal="center" vertical="center"/>
    </xf>
    <xf numFmtId="0" fontId="13" fillId="3" borderId="59" xfId="0" applyFont="1" applyFill="1" applyBorder="1" applyAlignment="1">
      <alignment horizontal="center" vertical="center"/>
    </xf>
    <xf numFmtId="0" fontId="13" fillId="3" borderId="46" xfId="0" applyFont="1" applyFill="1" applyBorder="1" applyAlignment="1">
      <alignment horizontal="center" vertical="center"/>
    </xf>
    <xf numFmtId="0" fontId="13" fillId="3" borderId="57" xfId="0" applyFont="1" applyFill="1" applyBorder="1" applyAlignment="1">
      <alignment horizontal="center" vertical="center"/>
    </xf>
    <xf numFmtId="0" fontId="13" fillId="3" borderId="42" xfId="0" applyFont="1" applyFill="1" applyBorder="1" applyAlignment="1">
      <alignment horizontal="center" vertical="center"/>
    </xf>
    <xf numFmtId="0" fontId="13" fillId="5" borderId="60" xfId="0" applyFont="1" applyFill="1" applyBorder="1" applyAlignment="1">
      <alignment horizontal="center" vertical="center"/>
    </xf>
    <xf numFmtId="0" fontId="13" fillId="5" borderId="48" xfId="0" applyFont="1" applyFill="1" applyBorder="1" applyAlignment="1">
      <alignment horizontal="center" vertical="center"/>
    </xf>
    <xf numFmtId="0" fontId="13" fillId="5" borderId="58" xfId="0" applyFont="1" applyFill="1" applyBorder="1" applyAlignment="1">
      <alignment horizontal="center" vertical="center"/>
    </xf>
    <xf numFmtId="0" fontId="13" fillId="5" borderId="44" xfId="0" applyFont="1" applyFill="1" applyBorder="1" applyAlignment="1">
      <alignment horizontal="center" vertical="center"/>
    </xf>
    <xf numFmtId="0" fontId="13" fillId="5" borderId="59" xfId="0" applyFont="1" applyFill="1" applyBorder="1" applyAlignment="1">
      <alignment horizontal="center" vertical="center"/>
    </xf>
    <xf numFmtId="0" fontId="13" fillId="5" borderId="46" xfId="0" applyFont="1" applyFill="1" applyBorder="1" applyAlignment="1">
      <alignment horizontal="center" vertical="center"/>
    </xf>
    <xf numFmtId="0" fontId="13" fillId="5" borderId="57" xfId="0" applyFont="1" applyFill="1" applyBorder="1" applyAlignment="1">
      <alignment horizontal="center" vertical="center"/>
    </xf>
    <xf numFmtId="0" fontId="13" fillId="5" borderId="42" xfId="0" applyFont="1" applyFill="1" applyBorder="1" applyAlignment="1">
      <alignment horizontal="center" vertical="center"/>
    </xf>
    <xf numFmtId="0" fontId="13" fillId="3" borderId="61" xfId="0" applyFont="1" applyFill="1" applyBorder="1" applyAlignment="1">
      <alignment horizontal="center" vertical="center"/>
    </xf>
    <xf numFmtId="0" fontId="13" fillId="3" borderId="53" xfId="0" applyFont="1" applyFill="1" applyBorder="1" applyAlignment="1">
      <alignment horizontal="center" vertic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1" fillId="2" borderId="64" xfId="0" applyFont="1" applyFill="1" applyBorder="1" applyAlignment="1">
      <alignment horizontal="center"/>
    </xf>
    <xf numFmtId="0" fontId="1" fillId="2" borderId="65" xfId="0" applyFont="1" applyFill="1" applyBorder="1" applyAlignment="1">
      <alignment horizontal="center"/>
    </xf>
    <xf numFmtId="17" fontId="13" fillId="5" borderId="43" xfId="0" quotePrefix="1" applyNumberFormat="1" applyFont="1" applyFill="1" applyBorder="1" applyAlignment="1">
      <alignment horizontal="center" vertical="center"/>
    </xf>
    <xf numFmtId="0" fontId="1" fillId="2" borderId="49" xfId="0" applyFont="1" applyFill="1" applyBorder="1" applyAlignment="1">
      <alignment horizontal="center"/>
    </xf>
    <xf numFmtId="0" fontId="1" fillId="2" borderId="54" xfId="0" applyFont="1" applyFill="1" applyBorder="1" applyAlignment="1">
      <alignment horizontal="center"/>
    </xf>
    <xf numFmtId="0" fontId="1" fillId="2" borderId="52" xfId="0" applyFont="1" applyFill="1" applyBorder="1" applyAlignment="1">
      <alignment horizontal="center"/>
    </xf>
    <xf numFmtId="0" fontId="1" fillId="2" borderId="53" xfId="0" applyFont="1" applyFill="1" applyBorder="1" applyAlignment="1">
      <alignment horizontal="center"/>
    </xf>
    <xf numFmtId="0" fontId="1" fillId="2" borderId="50" xfId="0" applyFont="1" applyFill="1" applyBorder="1" applyAlignment="1">
      <alignment horizontal="center"/>
    </xf>
    <xf numFmtId="0" fontId="1" fillId="2" borderId="66" xfId="0" applyFont="1" applyFill="1" applyBorder="1" applyAlignment="1">
      <alignment horizontal="center"/>
    </xf>
    <xf numFmtId="0" fontId="1" fillId="2" borderId="67" xfId="0" applyFont="1" applyFill="1" applyBorder="1" applyAlignment="1">
      <alignment horizontal="center"/>
    </xf>
    <xf numFmtId="0" fontId="1" fillId="2" borderId="68" xfId="0" applyFont="1" applyFill="1" applyBorder="1" applyAlignment="1">
      <alignment horizontal="center"/>
    </xf>
    <xf numFmtId="0" fontId="1" fillId="2" borderId="69" xfId="0" applyFont="1" applyFill="1" applyBorder="1" applyAlignment="1">
      <alignment horizontal="center"/>
    </xf>
    <xf numFmtId="0" fontId="1" fillId="2" borderId="61" xfId="0" applyFont="1" applyFill="1" applyBorder="1" applyAlignment="1">
      <alignment horizontal="center"/>
    </xf>
    <xf numFmtId="0" fontId="10" fillId="2" borderId="70" xfId="0" applyFont="1" applyFill="1" applyBorder="1" applyAlignment="1">
      <alignment horizontal="center"/>
    </xf>
    <xf numFmtId="168" fontId="13" fillId="3" borderId="6" xfId="0" applyNumberFormat="1" applyFont="1" applyFill="1" applyBorder="1" applyAlignment="1">
      <alignment horizontal="center" vertical="center"/>
    </xf>
    <xf numFmtId="168" fontId="13" fillId="3" borderId="10" xfId="0" applyNumberFormat="1" applyFont="1" applyFill="1" applyBorder="1" applyAlignment="1">
      <alignment horizontal="center" vertical="center"/>
    </xf>
    <xf numFmtId="168" fontId="13" fillId="5" borderId="14" xfId="0" applyNumberFormat="1" applyFont="1" applyFill="1" applyBorder="1" applyAlignment="1">
      <alignment horizontal="center" vertical="center"/>
    </xf>
    <xf numFmtId="168" fontId="13" fillId="3" borderId="3" xfId="0" applyNumberFormat="1" applyFont="1" applyFill="1" applyBorder="1" applyAlignment="1">
      <alignment horizontal="center" vertical="center"/>
    </xf>
    <xf numFmtId="168" fontId="13" fillId="5" borderId="3" xfId="0" applyNumberFormat="1" applyFont="1" applyFill="1" applyBorder="1" applyAlignment="1">
      <alignment horizontal="center" vertical="center"/>
    </xf>
    <xf numFmtId="168" fontId="13" fillId="5" borderId="6" xfId="0" applyNumberFormat="1" applyFont="1" applyFill="1" applyBorder="1" applyAlignment="1">
      <alignment horizontal="center" vertical="center"/>
    </xf>
    <xf numFmtId="168" fontId="13" fillId="5" borderId="10" xfId="0" applyNumberFormat="1" applyFont="1" applyFill="1" applyBorder="1" applyAlignment="1">
      <alignment horizontal="center" vertical="center"/>
    </xf>
    <xf numFmtId="168" fontId="13" fillId="3" borderId="50" xfId="0" applyNumberFormat="1" applyFont="1" applyFill="1" applyBorder="1" applyAlignment="1">
      <alignment horizontal="center" vertical="center"/>
    </xf>
    <xf numFmtId="164" fontId="13" fillId="3" borderId="45" xfId="0" applyNumberFormat="1" applyFont="1" applyFill="1" applyBorder="1" applyAlignment="1">
      <alignment horizontal="center" vertical="center"/>
    </xf>
    <xf numFmtId="164" fontId="13" fillId="3" borderId="41" xfId="0" applyNumberFormat="1" applyFont="1" applyFill="1" applyBorder="1" applyAlignment="1">
      <alignment horizontal="center" vertical="center"/>
    </xf>
    <xf numFmtId="164" fontId="13" fillId="5" borderId="47" xfId="0" applyNumberFormat="1" applyFont="1" applyFill="1" applyBorder="1" applyAlignment="1">
      <alignment horizontal="center" vertical="center"/>
    </xf>
    <xf numFmtId="164" fontId="13" fillId="3" borderId="43" xfId="0" applyNumberFormat="1" applyFont="1" applyFill="1" applyBorder="1" applyAlignment="1">
      <alignment horizontal="center" vertical="center"/>
    </xf>
    <xf numFmtId="164" fontId="13" fillId="5" borderId="43" xfId="0" applyNumberFormat="1" applyFont="1" applyFill="1" applyBorder="1" applyAlignment="1">
      <alignment horizontal="center" vertical="center"/>
    </xf>
    <xf numFmtId="164" fontId="13" fillId="5" borderId="45" xfId="0" applyNumberFormat="1" applyFont="1" applyFill="1" applyBorder="1" applyAlignment="1">
      <alignment horizontal="center" vertical="center"/>
    </xf>
    <xf numFmtId="164" fontId="13" fillId="5" borderId="41" xfId="0" applyNumberFormat="1" applyFont="1" applyFill="1" applyBorder="1" applyAlignment="1">
      <alignment horizontal="center" vertical="center"/>
    </xf>
    <xf numFmtId="164" fontId="13" fillId="3" borderId="49" xfId="0" applyNumberFormat="1" applyFont="1" applyFill="1" applyBorder="1" applyAlignment="1">
      <alignment horizontal="center" vertical="center"/>
    </xf>
    <xf numFmtId="0" fontId="1" fillId="0" borderId="14" xfId="0" applyFont="1" applyBorder="1" applyAlignment="1">
      <alignment horizontal="center" vertical="center"/>
    </xf>
    <xf numFmtId="0" fontId="1" fillId="2" borderId="7" xfId="0" applyFont="1" applyFill="1" applyBorder="1" applyAlignment="1">
      <alignment horizontal="center" vertical="center"/>
    </xf>
    <xf numFmtId="0" fontId="0" fillId="0" borderId="0" xfId="0" applyAlignment="1">
      <alignment vertical="center" wrapText="1"/>
    </xf>
    <xf numFmtId="168" fontId="0" fillId="0" borderId="0" xfId="0" applyNumberFormat="1" applyAlignment="1">
      <alignment horizontal="center" vertical="center"/>
    </xf>
    <xf numFmtId="1" fontId="0" fillId="0" borderId="0" xfId="0" applyNumberFormat="1" applyAlignment="1">
      <alignment horizontal="center" vertical="center"/>
    </xf>
    <xf numFmtId="0" fontId="1" fillId="0" borderId="9" xfId="0" applyFont="1" applyBorder="1" applyAlignment="1">
      <alignment vertical="center" wrapText="1"/>
    </xf>
    <xf numFmtId="0" fontId="1" fillId="0" borderId="9" xfId="0" applyFont="1" applyBorder="1" applyAlignment="1">
      <alignment horizontal="center" vertical="center" wrapText="1"/>
    </xf>
    <xf numFmtId="0" fontId="26" fillId="10" borderId="15" xfId="0" applyFont="1" applyFill="1" applyBorder="1" applyAlignment="1">
      <alignment vertical="center" wrapText="1"/>
    </xf>
    <xf numFmtId="0" fontId="0" fillId="7" borderId="15" xfId="0" applyFill="1" applyBorder="1" applyAlignment="1">
      <alignment vertical="center" wrapText="1"/>
    </xf>
    <xf numFmtId="0" fontId="13" fillId="3" borderId="15" xfId="0" applyFont="1" applyFill="1" applyBorder="1" applyAlignment="1">
      <alignment vertical="center" wrapText="1"/>
    </xf>
    <xf numFmtId="0" fontId="13" fillId="0" borderId="15" xfId="0" applyFont="1" applyBorder="1" applyAlignment="1">
      <alignment vertical="center" wrapText="1"/>
    </xf>
    <xf numFmtId="0" fontId="28" fillId="3" borderId="15" xfId="0" applyFont="1" applyFill="1" applyBorder="1" applyAlignment="1">
      <alignment vertical="center" wrapText="1"/>
    </xf>
    <xf numFmtId="0" fontId="1" fillId="0" borderId="0" xfId="0" applyFont="1" applyAlignment="1">
      <alignment vertical="center"/>
    </xf>
    <xf numFmtId="0" fontId="22" fillId="0" borderId="0" xfId="0" applyFont="1" applyAlignment="1">
      <alignment vertical="center" wrapText="1"/>
    </xf>
    <xf numFmtId="0" fontId="1" fillId="11" borderId="12" xfId="0" applyFont="1" applyFill="1" applyBorder="1" applyAlignment="1">
      <alignment horizontal="center" vertical="center" wrapText="1"/>
    </xf>
    <xf numFmtId="0" fontId="1" fillId="11" borderId="13" xfId="0" applyFont="1" applyFill="1" applyBorder="1" applyAlignment="1">
      <alignment horizontal="center" vertical="center" wrapText="1"/>
    </xf>
    <xf numFmtId="0" fontId="1" fillId="11" borderId="14" xfId="0" applyFont="1" applyFill="1" applyBorder="1" applyAlignment="1">
      <alignment horizontal="center" vertical="center" wrapText="1"/>
    </xf>
    <xf numFmtId="0" fontId="0" fillId="0" borderId="12" xfId="0" applyBorder="1" applyAlignment="1">
      <alignment horizontal="center" vertical="center"/>
    </xf>
    <xf numFmtId="168" fontId="0" fillId="0" borderId="10" xfId="0" applyNumberFormat="1" applyBorder="1" applyAlignment="1">
      <alignment horizontal="center" vertical="center"/>
    </xf>
    <xf numFmtId="168" fontId="0" fillId="0" borderId="14" xfId="0" applyNumberForma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167" fontId="0" fillId="0" borderId="2" xfId="0" applyNumberFormat="1" applyBorder="1" applyAlignment="1">
      <alignment horizontal="center" vertical="center" wrapText="1"/>
    </xf>
    <xf numFmtId="0" fontId="0" fillId="0" borderId="3" xfId="0" quotePrefix="1" applyBorder="1" applyAlignment="1">
      <alignment horizontal="left" vertical="center" wrapText="1"/>
    </xf>
    <xf numFmtId="167" fontId="0" fillId="0" borderId="0" xfId="0" applyNumberFormat="1" applyAlignment="1">
      <alignment horizontal="center" vertical="center" wrapText="1"/>
    </xf>
    <xf numFmtId="0" fontId="0" fillId="0" borderId="6" xfId="0" quotePrefix="1" applyBorder="1" applyAlignment="1">
      <alignment horizontal="left" vertical="center" wrapText="1"/>
    </xf>
    <xf numFmtId="166" fontId="0" fillId="0" borderId="0" xfId="0" applyNumberFormat="1" applyAlignment="1">
      <alignment horizontal="center" vertical="center" wrapText="1"/>
    </xf>
    <xf numFmtId="0" fontId="0" fillId="0" borderId="6" xfId="0" applyBorder="1" applyAlignment="1">
      <alignment horizontal="left" vertical="center" wrapText="1"/>
    </xf>
    <xf numFmtId="166" fontId="0" fillId="0" borderId="9" xfId="0" applyNumberFormat="1" applyBorder="1" applyAlignment="1">
      <alignment horizontal="center" vertical="center" wrapText="1"/>
    </xf>
    <xf numFmtId="167" fontId="0" fillId="0" borderId="9" xfId="0" applyNumberFormat="1" applyBorder="1" applyAlignment="1">
      <alignment horizontal="center" vertical="center" wrapText="1"/>
    </xf>
    <xf numFmtId="0" fontId="0" fillId="0" borderId="10" xfId="0" applyBorder="1" applyAlignment="1">
      <alignment horizontal="left" vertical="center" wrapText="1"/>
    </xf>
    <xf numFmtId="168" fontId="0" fillId="0" borderId="0" xfId="0" applyNumberFormat="1" applyAlignment="1">
      <alignment horizontal="center" vertical="center" wrapText="1"/>
    </xf>
    <xf numFmtId="0" fontId="9" fillId="12" borderId="0" xfId="0" applyFont="1" applyFill="1" applyAlignment="1">
      <alignment horizontal="center"/>
    </xf>
    <xf numFmtId="0" fontId="0" fillId="0" borderId="15" xfId="0" applyBorder="1" applyAlignment="1">
      <alignment vertical="center" wrapText="1"/>
    </xf>
    <xf numFmtId="0" fontId="0" fillId="3" borderId="0" xfId="0" applyFill="1" applyAlignment="1">
      <alignment horizontal="justify" vertical="center"/>
    </xf>
    <xf numFmtId="0" fontId="0" fillId="3" borderId="15" xfId="0" applyFill="1" applyBorder="1" applyAlignment="1">
      <alignment vertical="center" wrapText="1"/>
    </xf>
    <xf numFmtId="0" fontId="0" fillId="3" borderId="7" xfId="0" applyFill="1" applyBorder="1" applyAlignment="1">
      <alignment vertical="center" wrapText="1"/>
    </xf>
    <xf numFmtId="0" fontId="1" fillId="2" borderId="4" xfId="0" applyFont="1" applyFill="1" applyBorder="1" applyAlignment="1">
      <alignment horizontal="center" wrapText="1"/>
    </xf>
    <xf numFmtId="0" fontId="0" fillId="0" borderId="7" xfId="0" applyBorder="1" applyAlignment="1">
      <alignment horizontal="center" wrapText="1"/>
    </xf>
    <xf numFmtId="0" fontId="1" fillId="2" borderId="4" xfId="0" applyFont="1" applyFill="1" applyBorder="1" applyAlignment="1">
      <alignment horizontal="left" wrapText="1"/>
    </xf>
    <xf numFmtId="0" fontId="0" fillId="0" borderId="11" xfId="0" applyBorder="1" applyAlignment="1">
      <alignment horizontal="left" wrapText="1"/>
    </xf>
    <xf numFmtId="0" fontId="1" fillId="2" borderId="1" xfId="0" applyFont="1" applyFill="1" applyBorder="1" applyAlignment="1">
      <alignment horizontal="center" vertical="center" wrapText="1"/>
    </xf>
    <xf numFmtId="0" fontId="0" fillId="0" borderId="8" xfId="0" applyBorder="1" applyAlignment="1">
      <alignment horizontal="center" vertical="center" wrapText="1"/>
    </xf>
    <xf numFmtId="0" fontId="1" fillId="2" borderId="3" xfId="0" applyFont="1" applyFill="1" applyBorder="1" applyAlignment="1">
      <alignment horizontal="center" vertical="center" wrapText="1"/>
    </xf>
    <xf numFmtId="0" fontId="0" fillId="0" borderId="10" xfId="0" applyBorder="1" applyAlignment="1">
      <alignment horizontal="center" vertical="center" wrapText="1"/>
    </xf>
    <xf numFmtId="0" fontId="1" fillId="2" borderId="1" xfId="0" applyFont="1" applyFill="1" applyBorder="1" applyAlignment="1">
      <alignment horizontal="center" vertical="center"/>
    </xf>
    <xf numFmtId="0" fontId="0" fillId="0" borderId="8" xfId="0" applyBorder="1" applyAlignment="1">
      <alignment horizontal="center" vertical="center"/>
    </xf>
    <xf numFmtId="0" fontId="1" fillId="2" borderId="3" xfId="0" applyFont="1" applyFill="1"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3" borderId="1" xfId="0" applyFill="1" applyBorder="1" applyAlignment="1">
      <alignment horizontal="center" vertical="center" wrapText="1"/>
    </xf>
    <xf numFmtId="0" fontId="0" fillId="3" borderId="8"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4" xfId="0" applyFill="1" applyBorder="1" applyAlignment="1">
      <alignment horizontal="center" vertical="center" wrapText="1"/>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0" fillId="0" borderId="2" xfId="0" applyBorder="1" applyAlignment="1">
      <alignment horizontal="center" vertical="center"/>
    </xf>
    <xf numFmtId="0" fontId="0" fillId="0" borderId="9" xfId="0" applyBorder="1" applyAlignment="1">
      <alignment horizontal="center" vertical="center"/>
    </xf>
    <xf numFmtId="0" fontId="18" fillId="0" borderId="1"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0" fillId="0" borderId="3" xfId="0" applyBorder="1" applyAlignment="1">
      <alignment horizontal="center" vertical="center"/>
    </xf>
    <xf numFmtId="0" fontId="26" fillId="9" borderId="12" xfId="0" applyFont="1" applyFill="1" applyBorder="1" applyAlignment="1">
      <alignment horizontal="center" vertical="center"/>
    </xf>
    <xf numFmtId="0" fontId="27" fillId="9" borderId="13" xfId="0" applyFont="1" applyFill="1" applyBorder="1" applyAlignment="1">
      <alignment horizontal="center" vertical="center"/>
    </xf>
    <xf numFmtId="0" fontId="27" fillId="9" borderId="14" xfId="0" applyFont="1" applyFill="1" applyBorder="1" applyAlignment="1">
      <alignment horizontal="center" vertical="center"/>
    </xf>
    <xf numFmtId="0" fontId="1" fillId="2" borderId="2" xfId="0" applyFont="1" applyFill="1" applyBorder="1" applyAlignment="1">
      <alignment horizontal="left" vertical="center"/>
    </xf>
    <xf numFmtId="0" fontId="0" fillId="0" borderId="9" xfId="0" applyBorder="1" applyAlignment="1">
      <alignment horizontal="left" vertical="center"/>
    </xf>
    <xf numFmtId="0" fontId="0" fillId="0" borderId="0" xfId="0" applyAlignment="1">
      <alignment horizontal="left" vertical="center"/>
    </xf>
    <xf numFmtId="0" fontId="1" fillId="0" borderId="1" xfId="0" applyFont="1" applyBorder="1" applyAlignment="1">
      <alignment vertical="center"/>
    </xf>
    <xf numFmtId="0" fontId="0" fillId="0" borderId="8" xfId="0" applyBorder="1" applyAlignment="1">
      <alignment vertical="center"/>
    </xf>
    <xf numFmtId="0" fontId="1" fillId="0" borderId="1" xfId="0" applyFont="1" applyBorder="1" applyAlignment="1">
      <alignment horizontal="center" vertical="center"/>
    </xf>
    <xf numFmtId="0" fontId="14" fillId="0" borderId="4" xfId="0" applyFont="1" applyBorder="1" applyAlignment="1">
      <alignment horizontal="center" vertical="center" wrapText="1"/>
    </xf>
    <xf numFmtId="0" fontId="13" fillId="0" borderId="11" xfId="0" applyFont="1" applyBorder="1" applyAlignment="1">
      <alignment horizontal="center" vertical="center" wrapText="1"/>
    </xf>
    <xf numFmtId="0" fontId="1" fillId="0" borderId="4" xfId="0" applyFont="1"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xf>
    <xf numFmtId="0" fontId="0" fillId="0" borderId="8" xfId="0"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 fillId="6" borderId="12" xfId="0" applyFont="1" applyFill="1" applyBorder="1" applyAlignment="1">
      <alignment horizontal="center"/>
    </xf>
    <xf numFmtId="0" fontId="1" fillId="6" borderId="13" xfId="0" applyFont="1" applyFill="1" applyBorder="1" applyAlignment="1">
      <alignment horizontal="center"/>
    </xf>
    <xf numFmtId="0" fontId="1" fillId="6" borderId="14" xfId="0" applyFont="1" applyFill="1" applyBorder="1" applyAlignment="1">
      <alignment horizontal="center"/>
    </xf>
    <xf numFmtId="0" fontId="0" fillId="6" borderId="14" xfId="0" applyFill="1" applyBorder="1" applyAlignment="1">
      <alignment horizontal="center"/>
    </xf>
    <xf numFmtId="0" fontId="29" fillId="0" borderId="0" xfId="0" applyFont="1" applyAlignment="1">
      <alignment vertical="center" wrapText="1"/>
    </xf>
    <xf numFmtId="0" fontId="0" fillId="0" borderId="0" xfId="0" applyAlignment="1">
      <alignment vertical="center" wrapText="1"/>
    </xf>
  </cellXfs>
  <cellStyles count="3">
    <cellStyle name="Hyperlink" xfId="2" builtinId="8"/>
    <cellStyle name="Normal" xfId="0" builtinId="0"/>
    <cellStyle name="Per cent" xfId="1" builtinId="5"/>
  </cellStyles>
  <dxfs count="15">
    <dxf>
      <fill>
        <patternFill>
          <bgColor theme="7"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7"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7"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FFAD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72F2-3F10-7245-817E-757D0084BECB}">
  <dimension ref="B2:C27"/>
  <sheetViews>
    <sheetView tabSelected="1" zoomScale="110" zoomScaleNormal="110" workbookViewId="0"/>
  </sheetViews>
  <sheetFormatPr baseColWidth="10" defaultColWidth="11" defaultRowHeight="16" x14ac:dyDescent="0.2"/>
  <cols>
    <col min="2" max="2" width="29.6640625" customWidth="1"/>
  </cols>
  <sheetData>
    <row r="2" spans="2:3" x14ac:dyDescent="0.2">
      <c r="B2" s="25" t="s">
        <v>2927</v>
      </c>
    </row>
    <row r="3" spans="2:3" x14ac:dyDescent="0.2">
      <c r="B3" s="38" t="s">
        <v>2363</v>
      </c>
    </row>
    <row r="5" spans="2:3" x14ac:dyDescent="0.2">
      <c r="B5" s="371" t="s">
        <v>2882</v>
      </c>
      <c r="C5" t="s">
        <v>526</v>
      </c>
    </row>
    <row r="6" spans="2:3" x14ac:dyDescent="0.2">
      <c r="B6" s="371" t="s">
        <v>2883</v>
      </c>
      <c r="C6" t="s">
        <v>1787</v>
      </c>
    </row>
    <row r="7" spans="2:3" x14ac:dyDescent="0.2">
      <c r="B7" s="371" t="s">
        <v>2884</v>
      </c>
      <c r="C7" t="s">
        <v>2326</v>
      </c>
    </row>
    <row r="8" spans="2:3" x14ac:dyDescent="0.2">
      <c r="B8" s="371" t="s">
        <v>2885</v>
      </c>
      <c r="C8" t="s">
        <v>2778</v>
      </c>
    </row>
    <row r="9" spans="2:3" x14ac:dyDescent="0.2">
      <c r="B9" s="371" t="s">
        <v>2886</v>
      </c>
      <c r="C9" t="s">
        <v>1788</v>
      </c>
    </row>
    <row r="10" spans="2:3" x14ac:dyDescent="0.2">
      <c r="B10" s="371" t="s">
        <v>2887</v>
      </c>
      <c r="C10" t="s">
        <v>576</v>
      </c>
    </row>
    <row r="11" spans="2:3" x14ac:dyDescent="0.2">
      <c r="B11" s="371" t="s">
        <v>2888</v>
      </c>
      <c r="C11" t="s">
        <v>739</v>
      </c>
    </row>
    <row r="12" spans="2:3" x14ac:dyDescent="0.2">
      <c r="B12" s="371" t="s">
        <v>2889</v>
      </c>
      <c r="C12" t="s">
        <v>1789</v>
      </c>
    </row>
    <row r="13" spans="2:3" x14ac:dyDescent="0.2">
      <c r="B13" s="371" t="s">
        <v>2890</v>
      </c>
      <c r="C13" t="s">
        <v>2266</v>
      </c>
    </row>
    <row r="14" spans="2:3" x14ac:dyDescent="0.2">
      <c r="B14" s="371" t="s">
        <v>2891</v>
      </c>
      <c r="C14" t="s">
        <v>2267</v>
      </c>
    </row>
    <row r="15" spans="2:3" x14ac:dyDescent="0.2">
      <c r="B15" s="371" t="s">
        <v>2892</v>
      </c>
      <c r="C15" t="s">
        <v>2779</v>
      </c>
    </row>
    <row r="16" spans="2:3" x14ac:dyDescent="0.2">
      <c r="B16" s="371" t="s">
        <v>2893</v>
      </c>
      <c r="C16" t="s">
        <v>839</v>
      </c>
    </row>
    <row r="17" spans="2:3" x14ac:dyDescent="0.2">
      <c r="B17" s="371" t="s">
        <v>2894</v>
      </c>
      <c r="C17" t="s">
        <v>888</v>
      </c>
    </row>
    <row r="18" spans="2:3" x14ac:dyDescent="0.2">
      <c r="B18" s="371" t="s">
        <v>2895</v>
      </c>
      <c r="C18" t="s">
        <v>1790</v>
      </c>
    </row>
    <row r="19" spans="2:3" x14ac:dyDescent="0.2">
      <c r="B19" s="371" t="s">
        <v>2896</v>
      </c>
      <c r="C19" t="s">
        <v>2780</v>
      </c>
    </row>
    <row r="20" spans="2:3" x14ac:dyDescent="0.2">
      <c r="B20" s="371" t="s">
        <v>2897</v>
      </c>
      <c r="C20" t="s">
        <v>2268</v>
      </c>
    </row>
    <row r="21" spans="2:3" x14ac:dyDescent="0.2">
      <c r="B21" s="371" t="s">
        <v>2898</v>
      </c>
      <c r="C21" t="s">
        <v>1791</v>
      </c>
    </row>
    <row r="22" spans="2:3" x14ac:dyDescent="0.2">
      <c r="B22" s="371" t="s">
        <v>2899</v>
      </c>
      <c r="C22" t="s">
        <v>2269</v>
      </c>
    </row>
    <row r="23" spans="2:3" x14ac:dyDescent="0.2">
      <c r="B23" s="371" t="s">
        <v>2900</v>
      </c>
      <c r="C23" t="s">
        <v>2781</v>
      </c>
    </row>
    <row r="24" spans="2:3" x14ac:dyDescent="0.2">
      <c r="B24" s="371" t="s">
        <v>2901</v>
      </c>
      <c r="C24" t="s">
        <v>2270</v>
      </c>
    </row>
    <row r="25" spans="2:3" x14ac:dyDescent="0.2">
      <c r="B25" s="371" t="s">
        <v>2902</v>
      </c>
      <c r="C25" t="s">
        <v>2782</v>
      </c>
    </row>
    <row r="26" spans="2:3" x14ac:dyDescent="0.2">
      <c r="B26" s="371" t="s">
        <v>2903</v>
      </c>
      <c r="C26" t="s">
        <v>557</v>
      </c>
    </row>
    <row r="27" spans="2:3" x14ac:dyDescent="0.2">
      <c r="B27" s="371" t="s">
        <v>2904</v>
      </c>
      <c r="C27" t="s">
        <v>2783</v>
      </c>
    </row>
  </sheetData>
  <hyperlinks>
    <hyperlink ref="B5" location="'Supplementary Data 1'!A1" display="Supplementary Data 1" xr:uid="{17834B4C-297D-AB4D-A3D6-0C866150040D}"/>
    <hyperlink ref="B6" location="'Supplementary Data 2'!A1" display="Supplementary Data 2" xr:uid="{C61663E4-0F99-5740-8891-A650741D930E}"/>
    <hyperlink ref="B7" location="'Supplementary Data 3'!A1" display="Supplementary Data 3" xr:uid="{C718512B-2D05-A941-A8B5-9506B8F5A3B5}"/>
    <hyperlink ref="B8" location="'Supplementary Data 4'!A1" display="Supplementary Data 4" xr:uid="{76985C21-0AFD-DE45-96C6-C519747BB7D1}"/>
    <hyperlink ref="B9" location="'Supplementary Data 5'!A1" display="Supplementary Data 5" xr:uid="{9EDAB526-AAC7-A14F-89BA-2D466E67D955}"/>
    <hyperlink ref="B10" location="'Supplementary Data 6'!A1" display="Supplementary Data 6" xr:uid="{BF9D097A-862C-7E48-9474-F92B532EED41}"/>
    <hyperlink ref="B11" location="'Supplementary Data 7'!A1" display="Supplementary Data 7" xr:uid="{51B05F57-AD3B-DD4C-A5DF-D2A83C842286}"/>
    <hyperlink ref="B12" location="'Supplementary Data 8'!A1" display="Supplementary Data 8" xr:uid="{B178CE29-7B7F-2743-9EAF-BB50DA90F26D}"/>
    <hyperlink ref="B13" location="'Supplementary Data 9'!A1" display="Supplementary Data 9" xr:uid="{A3226E95-7BC3-4C47-A378-7B9875B08DFD}"/>
    <hyperlink ref="B14" location="'Supplementary Data 10'!A1" display="Supplementary Data 10" xr:uid="{2008D083-B421-7E4F-954E-49E447F53A61}"/>
    <hyperlink ref="B15" location="'Supplementary Data 11'!A1" display="Supplementary Data 11" xr:uid="{FD19C837-54AC-1C4A-87BC-5F36DF3B9C1A}"/>
    <hyperlink ref="B16" location="'Supplementary Data 12'!A1" display="Supplementary Data 12" xr:uid="{138F4DE8-5C1E-D64C-8DFE-B9C02BFB785D}"/>
    <hyperlink ref="B17" location="'Supplementary Data 13'!A1" display="Supplementary Data 13" xr:uid="{772A3388-3DEF-9F4A-B37B-8909A04AEACF}"/>
    <hyperlink ref="B18" location="'Supplementary Data 14'!A1" display="Supplementary Data 14" xr:uid="{FE81BD14-2493-4845-B37B-1100A5A6F035}"/>
    <hyperlink ref="B19" location="'Supplementary Data 15'!A1" display="Supplementary Data 15" xr:uid="{EEE07923-1847-4F4C-8C90-78888BC4FDF9}"/>
    <hyperlink ref="B20" location="'Supplementary Data 16'!A1" display="Supplementary Data 16" xr:uid="{83703EFF-B7FF-F845-826F-2B5FFFB54922}"/>
    <hyperlink ref="B21" location="'Supplementary Data 17'!A1" display="Supplementary Data 17" xr:uid="{ADDD4CFC-EC58-264C-927C-CCB44EB5CB16}"/>
    <hyperlink ref="B22" location="'Supplementary Data 18'!A1" display="Supplementary Data 18" xr:uid="{EE6F7AE0-C565-8640-A9F8-8010EBBF192C}"/>
    <hyperlink ref="B23" location="'Supplementary Data 19'!A1" display="Supplementary Data 19" xr:uid="{BE803FF7-0814-8146-8F5C-CCC6DEEB8B01}"/>
    <hyperlink ref="B24" location="'Supplementary Data 20'!A1" display="Supplementary Data 20" xr:uid="{F3CAF986-28B3-D641-88B2-003DEB85093F}"/>
    <hyperlink ref="B25" location="'Supplementary Data 21'!A1" display="Supplementary Data 21" xr:uid="{092941E2-20AB-AA4B-B2CE-6003A2CD11FB}"/>
    <hyperlink ref="B26" location="'Supplementary Data 22'!A1" display="Supplementary Data 22" xr:uid="{A6D693D3-D22D-BA49-B9D1-CD7C863FBF65}"/>
    <hyperlink ref="B27" location="'Supplementary Data 23'!A1" display="Supplementary Data 23" xr:uid="{04BE0CB8-AEFC-2C42-B052-1B9D67DB48F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ECB1D-E4C5-1949-9367-6B1529FF11D9}">
  <dimension ref="B2:AK165"/>
  <sheetViews>
    <sheetView zoomScaleNormal="100" workbookViewId="0">
      <pane xSplit="5" ySplit="12" topLeftCell="F13" activePane="bottomRight" state="frozen"/>
      <selection pane="topRight" activeCell="E1" sqref="E1"/>
      <selection pane="bottomLeft" activeCell="A4" sqref="A4"/>
      <selection pane="bottomRight"/>
    </sheetView>
  </sheetViews>
  <sheetFormatPr baseColWidth="10" defaultColWidth="11" defaultRowHeight="16" x14ac:dyDescent="0.2"/>
  <cols>
    <col min="1" max="1" width="4" customWidth="1"/>
    <col min="4" max="4" width="27.33203125" bestFit="1" customWidth="1"/>
    <col min="5" max="5" width="25.6640625" bestFit="1" customWidth="1"/>
    <col min="6" max="6" width="16.33203125" bestFit="1" customWidth="1"/>
    <col min="7" max="7" width="14.6640625" customWidth="1"/>
    <col min="10" max="10" width="19.33203125" bestFit="1" customWidth="1"/>
    <col min="12" max="12" width="13.5" bestFit="1" customWidth="1"/>
    <col min="16" max="16" width="16.6640625" bestFit="1" customWidth="1"/>
    <col min="17" max="17" width="14.83203125" bestFit="1" customWidth="1"/>
    <col min="20" max="20" width="19.33203125" bestFit="1" customWidth="1"/>
    <col min="21" max="21" width="11.6640625" bestFit="1" customWidth="1"/>
    <col min="22" max="22" width="13.5" bestFit="1" customWidth="1"/>
    <col min="26" max="26" width="18.1640625" customWidth="1"/>
    <col min="27" max="27" width="16.6640625" bestFit="1" customWidth="1"/>
    <col min="28" max="28" width="13.5" bestFit="1" customWidth="1"/>
    <col min="31" max="31" width="13.5" bestFit="1" customWidth="1"/>
    <col min="33" max="33" width="11" style="23"/>
    <col min="34" max="34" width="20.5" bestFit="1" customWidth="1"/>
    <col min="35" max="35" width="13.83203125" bestFit="1" customWidth="1"/>
    <col min="36" max="36" width="29" style="24" bestFit="1" customWidth="1"/>
    <col min="37" max="37" width="60" style="24" customWidth="1"/>
  </cols>
  <sheetData>
    <row r="2" spans="2:37" x14ac:dyDescent="0.2">
      <c r="B2" s="25" t="s">
        <v>2905</v>
      </c>
    </row>
    <row r="3" spans="2:37" x14ac:dyDescent="0.2">
      <c r="B3" t="s">
        <v>2364</v>
      </c>
    </row>
    <row r="4" spans="2:37" ht="19" x14ac:dyDescent="0.2">
      <c r="B4" t="s">
        <v>2773</v>
      </c>
    </row>
    <row r="5" spans="2:37" ht="19" x14ac:dyDescent="0.2">
      <c r="B5" t="s">
        <v>2774</v>
      </c>
    </row>
    <row r="6" spans="2:37" ht="19" x14ac:dyDescent="0.2">
      <c r="B6" t="s">
        <v>2785</v>
      </c>
    </row>
    <row r="7" spans="2:37" ht="19" x14ac:dyDescent="0.2">
      <c r="B7" t="s">
        <v>2787</v>
      </c>
    </row>
    <row r="8" spans="2:37" ht="16" customHeight="1" x14ac:dyDescent="0.2">
      <c r="B8" t="s">
        <v>2792</v>
      </c>
    </row>
    <row r="9" spans="2:37" ht="19" x14ac:dyDescent="0.2">
      <c r="B9" t="s">
        <v>2793</v>
      </c>
    </row>
    <row r="11" spans="2:37" ht="16" customHeight="1" x14ac:dyDescent="0.2">
      <c r="B11" s="1" t="s">
        <v>0</v>
      </c>
      <c r="C11" s="2" t="s">
        <v>1</v>
      </c>
      <c r="D11" s="2" t="s">
        <v>2771</v>
      </c>
      <c r="E11" s="3" t="s">
        <v>2</v>
      </c>
      <c r="F11" s="4" t="s">
        <v>3</v>
      </c>
      <c r="G11" s="5"/>
      <c r="H11" s="5"/>
      <c r="I11" s="5"/>
      <c r="J11" s="5"/>
      <c r="K11" s="5"/>
      <c r="L11" s="5"/>
      <c r="M11" s="5"/>
      <c r="N11" s="5"/>
      <c r="O11" s="6"/>
      <c r="P11" s="4" t="s">
        <v>4</v>
      </c>
      <c r="Q11" s="5"/>
      <c r="R11" s="5"/>
      <c r="S11" s="5"/>
      <c r="T11" s="5"/>
      <c r="U11" s="5"/>
      <c r="V11" s="5"/>
      <c r="W11" s="5"/>
      <c r="X11" s="5"/>
      <c r="Y11" s="6"/>
      <c r="Z11" s="541" t="s">
        <v>5</v>
      </c>
      <c r="AA11" s="4" t="s">
        <v>6</v>
      </c>
      <c r="AB11" s="5"/>
      <c r="AC11" s="5"/>
      <c r="AD11" s="5"/>
      <c r="AE11" s="5"/>
      <c r="AF11" s="6"/>
      <c r="AG11" s="7" t="s">
        <v>7</v>
      </c>
      <c r="AH11" s="5"/>
      <c r="AI11" s="6"/>
      <c r="AJ11" s="543" t="s">
        <v>2790</v>
      </c>
      <c r="AK11" s="543" t="s">
        <v>2791</v>
      </c>
    </row>
    <row r="12" spans="2:37" ht="19" x14ac:dyDescent="0.2">
      <c r="B12" s="8"/>
      <c r="C12" s="9"/>
      <c r="D12" s="9"/>
      <c r="E12" s="10"/>
      <c r="F12" s="8" t="s">
        <v>8</v>
      </c>
      <c r="G12" s="9" t="s">
        <v>9</v>
      </c>
      <c r="H12" s="9" t="s">
        <v>10</v>
      </c>
      <c r="I12" s="9" t="s">
        <v>11</v>
      </c>
      <c r="J12" s="9" t="s">
        <v>2772</v>
      </c>
      <c r="K12" s="9" t="s">
        <v>13</v>
      </c>
      <c r="L12" s="9" t="s">
        <v>14</v>
      </c>
      <c r="M12" s="9" t="s">
        <v>2784</v>
      </c>
      <c r="N12" s="9" t="s">
        <v>2789</v>
      </c>
      <c r="O12" s="10" t="s">
        <v>2788</v>
      </c>
      <c r="P12" s="8" t="s">
        <v>8</v>
      </c>
      <c r="Q12" s="9" t="s">
        <v>9</v>
      </c>
      <c r="R12" s="9" t="s">
        <v>10</v>
      </c>
      <c r="S12" s="9" t="s">
        <v>11</v>
      </c>
      <c r="T12" s="9" t="s">
        <v>2772</v>
      </c>
      <c r="U12" s="9" t="s">
        <v>13</v>
      </c>
      <c r="V12" s="9" t="s">
        <v>14</v>
      </c>
      <c r="W12" s="9" t="s">
        <v>2784</v>
      </c>
      <c r="X12" s="9" t="s">
        <v>2789</v>
      </c>
      <c r="Y12" s="10" t="s">
        <v>2788</v>
      </c>
      <c r="Z12" s="542"/>
      <c r="AA12" s="8" t="s">
        <v>8</v>
      </c>
      <c r="AB12" s="9" t="s">
        <v>9</v>
      </c>
      <c r="AC12" s="9" t="s">
        <v>10</v>
      </c>
      <c r="AD12" s="9" t="s">
        <v>13</v>
      </c>
      <c r="AE12" s="9" t="s">
        <v>14</v>
      </c>
      <c r="AF12" s="536" t="s">
        <v>2786</v>
      </c>
      <c r="AG12" s="11" t="s">
        <v>15</v>
      </c>
      <c r="AH12" s="9" t="s">
        <v>16</v>
      </c>
      <c r="AI12" s="10" t="s">
        <v>17</v>
      </c>
      <c r="AJ12" s="544"/>
      <c r="AK12" s="544"/>
    </row>
    <row r="13" spans="2:37" ht="17" x14ac:dyDescent="0.2">
      <c r="B13" s="86">
        <v>1</v>
      </c>
      <c r="C13" s="87">
        <v>1</v>
      </c>
      <c r="D13" s="87" t="s">
        <v>2663</v>
      </c>
      <c r="E13" s="89" t="s">
        <v>1857</v>
      </c>
      <c r="F13" s="86" t="s">
        <v>18</v>
      </c>
      <c r="G13" s="87">
        <v>8259274</v>
      </c>
      <c r="H13" s="87" t="s">
        <v>19</v>
      </c>
      <c r="I13" s="87" t="s">
        <v>20</v>
      </c>
      <c r="J13" s="87" t="s">
        <v>21</v>
      </c>
      <c r="K13" s="88">
        <v>0.92663086185315902</v>
      </c>
      <c r="L13" s="88">
        <v>9.7000000000000003E-3</v>
      </c>
      <c r="M13" s="184">
        <v>3.0570000000000002E-15</v>
      </c>
      <c r="N13" s="90">
        <v>6.4</v>
      </c>
      <c r="O13" s="185">
        <v>0.37890000000000001</v>
      </c>
      <c r="P13" s="86" t="s">
        <v>22</v>
      </c>
      <c r="Q13" s="87" t="s">
        <v>23</v>
      </c>
      <c r="R13" s="87" t="s">
        <v>23</v>
      </c>
      <c r="S13" s="87" t="s">
        <v>23</v>
      </c>
      <c r="T13" s="87" t="s">
        <v>23</v>
      </c>
      <c r="U13" s="87" t="s">
        <v>23</v>
      </c>
      <c r="V13" s="87" t="s">
        <v>23</v>
      </c>
      <c r="W13" s="184" t="s">
        <v>23</v>
      </c>
      <c r="X13" s="87" t="s">
        <v>23</v>
      </c>
      <c r="Y13" s="89" t="s">
        <v>23</v>
      </c>
      <c r="Z13" s="182">
        <v>2</v>
      </c>
      <c r="AA13" s="86" t="s">
        <v>24</v>
      </c>
      <c r="AB13" s="87">
        <v>8261393</v>
      </c>
      <c r="AC13" s="87" t="s">
        <v>25</v>
      </c>
      <c r="AD13" s="88">
        <v>1.0659611708644601</v>
      </c>
      <c r="AE13" s="88">
        <v>9.7911700000000001E-3</v>
      </c>
      <c r="AF13" s="127">
        <v>6.8489899999999995E-11</v>
      </c>
      <c r="AG13" s="183">
        <v>29</v>
      </c>
      <c r="AH13" s="184" t="s">
        <v>26</v>
      </c>
      <c r="AI13" s="185">
        <v>0.113501038</v>
      </c>
      <c r="AJ13" s="186" t="s">
        <v>27</v>
      </c>
      <c r="AK13" s="187" t="s">
        <v>28</v>
      </c>
    </row>
    <row r="14" spans="2:37" ht="17" x14ac:dyDescent="0.2">
      <c r="B14" s="75" t="s">
        <v>28</v>
      </c>
      <c r="C14" s="77" t="s">
        <v>28</v>
      </c>
      <c r="D14" s="77" t="s">
        <v>28</v>
      </c>
      <c r="E14" s="79" t="s">
        <v>28</v>
      </c>
      <c r="F14" s="75" t="s">
        <v>28</v>
      </c>
      <c r="G14" s="77" t="s">
        <v>28</v>
      </c>
      <c r="H14" s="77" t="s">
        <v>28</v>
      </c>
      <c r="I14" s="77" t="s">
        <v>28</v>
      </c>
      <c r="J14" s="77" t="s">
        <v>28</v>
      </c>
      <c r="K14" s="178" t="s">
        <v>28</v>
      </c>
      <c r="L14" s="178" t="s">
        <v>28</v>
      </c>
      <c r="M14" s="190" t="s">
        <v>28</v>
      </c>
      <c r="N14" s="114" t="s">
        <v>28</v>
      </c>
      <c r="O14" s="191" t="s">
        <v>28</v>
      </c>
      <c r="P14" s="75" t="s">
        <v>28</v>
      </c>
      <c r="Q14" s="77" t="s">
        <v>28</v>
      </c>
      <c r="R14" s="77" t="s">
        <v>28</v>
      </c>
      <c r="S14" s="77" t="s">
        <v>28</v>
      </c>
      <c r="T14" s="77" t="s">
        <v>28</v>
      </c>
      <c r="U14" s="77" t="s">
        <v>28</v>
      </c>
      <c r="V14" s="77" t="s">
        <v>28</v>
      </c>
      <c r="W14" s="190" t="s">
        <v>28</v>
      </c>
      <c r="X14" s="77" t="s">
        <v>28</v>
      </c>
      <c r="Y14" s="79" t="s">
        <v>28</v>
      </c>
      <c r="Z14" s="188" t="s">
        <v>28</v>
      </c>
      <c r="AA14" s="75" t="s">
        <v>29</v>
      </c>
      <c r="AB14" s="77">
        <v>8206827</v>
      </c>
      <c r="AC14" s="77" t="s">
        <v>20</v>
      </c>
      <c r="AD14" s="178">
        <v>0.90512927516270802</v>
      </c>
      <c r="AE14" s="178">
        <v>1.6114300000000002E-2</v>
      </c>
      <c r="AF14" s="129">
        <v>6.1839999999999995E-10</v>
      </c>
      <c r="AG14" s="189">
        <v>3</v>
      </c>
      <c r="AH14" s="190" t="s">
        <v>30</v>
      </c>
      <c r="AI14" s="191">
        <v>0.683735965</v>
      </c>
      <c r="AJ14" s="192" t="s">
        <v>28</v>
      </c>
      <c r="AK14" s="193" t="s">
        <v>28</v>
      </c>
    </row>
    <row r="15" spans="2:37" ht="51" x14ac:dyDescent="0.2">
      <c r="B15" s="194">
        <v>2</v>
      </c>
      <c r="C15" s="195">
        <v>1</v>
      </c>
      <c r="D15" s="195" t="s">
        <v>2664</v>
      </c>
      <c r="E15" s="196" t="s">
        <v>1858</v>
      </c>
      <c r="F15" s="194" t="s">
        <v>31</v>
      </c>
      <c r="G15" s="195">
        <v>12047368</v>
      </c>
      <c r="H15" s="195" t="s">
        <v>32</v>
      </c>
      <c r="I15" s="195" t="s">
        <v>20</v>
      </c>
      <c r="J15" s="195" t="s">
        <v>33</v>
      </c>
      <c r="K15" s="197">
        <v>0.918787879423964</v>
      </c>
      <c r="L15" s="197">
        <v>1.09E-2</v>
      </c>
      <c r="M15" s="217">
        <v>6.3389999999999999E-15</v>
      </c>
      <c r="N15" s="391">
        <v>22.3</v>
      </c>
      <c r="O15" s="201">
        <v>0.1948</v>
      </c>
      <c r="P15" s="194" t="s">
        <v>34</v>
      </c>
      <c r="Q15" s="195">
        <v>12047196</v>
      </c>
      <c r="R15" s="195" t="s">
        <v>25</v>
      </c>
      <c r="S15" s="195" t="s">
        <v>35</v>
      </c>
      <c r="T15" s="195" t="s">
        <v>36</v>
      </c>
      <c r="U15" s="197">
        <v>0.93631810918834302</v>
      </c>
      <c r="V15" s="197">
        <v>9.7999999999999997E-3</v>
      </c>
      <c r="W15" s="217">
        <v>2.232E-11</v>
      </c>
      <c r="X15" s="391">
        <v>53.9</v>
      </c>
      <c r="Y15" s="201">
        <v>3.5379999999999999E-3</v>
      </c>
      <c r="Z15" s="199">
        <v>1</v>
      </c>
      <c r="AA15" s="194" t="s">
        <v>34</v>
      </c>
      <c r="AB15" s="195">
        <v>12047196</v>
      </c>
      <c r="AC15" s="195" t="s">
        <v>35</v>
      </c>
      <c r="AD15" s="197">
        <v>1.0680130931856699</v>
      </c>
      <c r="AE15" s="197">
        <v>9.8021400000000009E-3</v>
      </c>
      <c r="AF15" s="198">
        <v>1.9090300000000001E-11</v>
      </c>
      <c r="AG15" s="200">
        <v>22</v>
      </c>
      <c r="AH15" s="217" t="s">
        <v>37</v>
      </c>
      <c r="AI15" s="201">
        <v>0.102826055</v>
      </c>
      <c r="AJ15" s="202" t="s">
        <v>38</v>
      </c>
      <c r="AK15" s="203" t="s">
        <v>1757</v>
      </c>
    </row>
    <row r="16" spans="2:37" ht="17" x14ac:dyDescent="0.2">
      <c r="B16" s="194">
        <v>3</v>
      </c>
      <c r="C16" s="195">
        <v>1</v>
      </c>
      <c r="D16" s="195" t="s">
        <v>2665</v>
      </c>
      <c r="E16" s="196" t="s">
        <v>1859</v>
      </c>
      <c r="F16" s="194" t="s">
        <v>39</v>
      </c>
      <c r="G16" s="195">
        <v>16128205</v>
      </c>
      <c r="H16" s="195" t="s">
        <v>40</v>
      </c>
      <c r="I16" s="195" t="s">
        <v>25</v>
      </c>
      <c r="J16" s="195" t="s">
        <v>41</v>
      </c>
      <c r="K16" s="197">
        <v>0.94317824039966702</v>
      </c>
      <c r="L16" s="197">
        <v>1.0699999999999999E-2</v>
      </c>
      <c r="M16" s="217">
        <v>4.6210000000000002E-8</v>
      </c>
      <c r="N16" s="391">
        <v>0</v>
      </c>
      <c r="O16" s="201">
        <v>0.67659999999999998</v>
      </c>
      <c r="P16" s="194" t="s">
        <v>42</v>
      </c>
      <c r="Q16" s="195">
        <v>16144855</v>
      </c>
      <c r="R16" s="195" t="s">
        <v>20</v>
      </c>
      <c r="S16" s="195" t="s">
        <v>25</v>
      </c>
      <c r="T16" s="195" t="s">
        <v>43</v>
      </c>
      <c r="U16" s="197">
        <v>0.94648514795348404</v>
      </c>
      <c r="V16" s="197">
        <v>1.03E-2</v>
      </c>
      <c r="W16" s="217">
        <v>8.706E-8</v>
      </c>
      <c r="X16" s="391">
        <v>9.1</v>
      </c>
      <c r="Y16" s="201">
        <v>0.34639999999999999</v>
      </c>
      <c r="Z16" s="199">
        <v>1</v>
      </c>
      <c r="AA16" s="194" t="s">
        <v>23</v>
      </c>
      <c r="AB16" s="195" t="s">
        <v>23</v>
      </c>
      <c r="AC16" s="195" t="s">
        <v>23</v>
      </c>
      <c r="AD16" s="197" t="s">
        <v>23</v>
      </c>
      <c r="AE16" s="197" t="s">
        <v>23</v>
      </c>
      <c r="AF16" s="196" t="s">
        <v>23</v>
      </c>
      <c r="AG16" s="200" t="s">
        <v>23</v>
      </c>
      <c r="AH16" s="195" t="s">
        <v>23</v>
      </c>
      <c r="AI16" s="201" t="s">
        <v>23</v>
      </c>
      <c r="AJ16" s="202" t="s">
        <v>38</v>
      </c>
      <c r="AK16" s="203" t="s">
        <v>28</v>
      </c>
    </row>
    <row r="17" spans="2:37" ht="17" x14ac:dyDescent="0.2">
      <c r="B17" s="86">
        <v>4</v>
      </c>
      <c r="C17" s="87">
        <v>1</v>
      </c>
      <c r="D17" s="87" t="s">
        <v>2666</v>
      </c>
      <c r="E17" s="89" t="s">
        <v>1860</v>
      </c>
      <c r="F17" s="86" t="s">
        <v>44</v>
      </c>
      <c r="G17" s="87">
        <v>24518206</v>
      </c>
      <c r="H17" s="87" t="s">
        <v>19</v>
      </c>
      <c r="I17" s="87" t="s">
        <v>20</v>
      </c>
      <c r="J17" s="87" t="s">
        <v>45</v>
      </c>
      <c r="K17" s="88">
        <v>0.89601332004146494</v>
      </c>
      <c r="L17" s="88">
        <v>1.0699999999999999E-2</v>
      </c>
      <c r="M17" s="184">
        <v>1.491E-24</v>
      </c>
      <c r="N17" s="90">
        <v>53.9</v>
      </c>
      <c r="O17" s="185">
        <v>3.4970000000000001E-3</v>
      </c>
      <c r="P17" s="86" t="s">
        <v>22</v>
      </c>
      <c r="Q17" s="87" t="s">
        <v>23</v>
      </c>
      <c r="R17" s="87" t="s">
        <v>23</v>
      </c>
      <c r="S17" s="87" t="s">
        <v>23</v>
      </c>
      <c r="T17" s="87" t="s">
        <v>23</v>
      </c>
      <c r="U17" s="88" t="s">
        <v>23</v>
      </c>
      <c r="V17" s="88" t="s">
        <v>23</v>
      </c>
      <c r="W17" s="184" t="s">
        <v>23</v>
      </c>
      <c r="X17" s="90" t="s">
        <v>23</v>
      </c>
      <c r="Y17" s="185" t="s">
        <v>23</v>
      </c>
      <c r="Z17" s="182">
        <v>2</v>
      </c>
      <c r="AA17" s="86" t="s">
        <v>44</v>
      </c>
      <c r="AB17" s="87">
        <v>24518206</v>
      </c>
      <c r="AC17" s="87" t="s">
        <v>20</v>
      </c>
      <c r="AD17" s="88">
        <v>1.1193330311276599</v>
      </c>
      <c r="AE17" s="88">
        <v>1.07163E-2</v>
      </c>
      <c r="AF17" s="127">
        <v>7.0038900000000003E-26</v>
      </c>
      <c r="AG17" s="183">
        <v>1</v>
      </c>
      <c r="AH17" s="184" t="s">
        <v>46</v>
      </c>
      <c r="AI17" s="185">
        <v>0.99731315700000001</v>
      </c>
      <c r="AJ17" s="186" t="s">
        <v>47</v>
      </c>
      <c r="AK17" s="187" t="s">
        <v>28</v>
      </c>
    </row>
    <row r="18" spans="2:37" ht="17" x14ac:dyDescent="0.2">
      <c r="B18" s="75" t="s">
        <v>28</v>
      </c>
      <c r="C18" s="77" t="s">
        <v>28</v>
      </c>
      <c r="D18" s="77" t="s">
        <v>28</v>
      </c>
      <c r="E18" s="79" t="s">
        <v>28</v>
      </c>
      <c r="F18" s="75" t="s">
        <v>28</v>
      </c>
      <c r="G18" s="77" t="s">
        <v>28</v>
      </c>
      <c r="H18" s="77" t="s">
        <v>28</v>
      </c>
      <c r="I18" s="77" t="s">
        <v>28</v>
      </c>
      <c r="J18" s="77" t="s">
        <v>28</v>
      </c>
      <c r="K18" s="178" t="s">
        <v>28</v>
      </c>
      <c r="L18" s="178" t="s">
        <v>28</v>
      </c>
      <c r="M18" s="190" t="s">
        <v>28</v>
      </c>
      <c r="N18" s="114" t="s">
        <v>28</v>
      </c>
      <c r="O18" s="191" t="s">
        <v>28</v>
      </c>
      <c r="P18" s="75" t="s">
        <v>28</v>
      </c>
      <c r="Q18" s="77" t="s">
        <v>28</v>
      </c>
      <c r="R18" s="77" t="s">
        <v>28</v>
      </c>
      <c r="S18" s="77" t="s">
        <v>28</v>
      </c>
      <c r="T18" s="77" t="s">
        <v>28</v>
      </c>
      <c r="U18" s="178" t="s">
        <v>28</v>
      </c>
      <c r="V18" s="178" t="s">
        <v>28</v>
      </c>
      <c r="W18" s="190" t="s">
        <v>28</v>
      </c>
      <c r="X18" s="114" t="s">
        <v>28</v>
      </c>
      <c r="Y18" s="191" t="s">
        <v>28</v>
      </c>
      <c r="Z18" s="188" t="s">
        <v>28</v>
      </c>
      <c r="AA18" s="75" t="s">
        <v>48</v>
      </c>
      <c r="AB18" s="77">
        <v>24507213</v>
      </c>
      <c r="AC18" s="77" t="s">
        <v>19</v>
      </c>
      <c r="AD18" s="178">
        <v>0.82522846806325501</v>
      </c>
      <c r="AE18" s="178">
        <v>3.1837600000000001E-2</v>
      </c>
      <c r="AF18" s="129">
        <v>1.6036400000000001E-9</v>
      </c>
      <c r="AG18" s="189">
        <v>2</v>
      </c>
      <c r="AH18" s="190" t="s">
        <v>49</v>
      </c>
      <c r="AI18" s="191">
        <v>0.67491251600000002</v>
      </c>
      <c r="AJ18" s="192" t="s">
        <v>28</v>
      </c>
      <c r="AK18" s="193" t="s">
        <v>28</v>
      </c>
    </row>
    <row r="19" spans="2:37" ht="17" x14ac:dyDescent="0.2">
      <c r="B19" s="130">
        <v>5</v>
      </c>
      <c r="C19" s="131">
        <v>1</v>
      </c>
      <c r="D19" s="131" t="s">
        <v>2666</v>
      </c>
      <c r="E19" s="132" t="s">
        <v>1861</v>
      </c>
      <c r="F19" s="130" t="s">
        <v>50</v>
      </c>
      <c r="G19" s="131">
        <v>25294195</v>
      </c>
      <c r="H19" s="131" t="s">
        <v>40</v>
      </c>
      <c r="I19" s="131" t="s">
        <v>25</v>
      </c>
      <c r="J19" s="131" t="s">
        <v>51</v>
      </c>
      <c r="K19" s="204">
        <v>1.1347359719050101</v>
      </c>
      <c r="L19" s="204">
        <v>9.1000000000000004E-3</v>
      </c>
      <c r="M19" s="207">
        <v>6.2270000000000002E-44</v>
      </c>
      <c r="N19" s="392">
        <v>21.1</v>
      </c>
      <c r="O19" s="208">
        <v>0.2034</v>
      </c>
      <c r="P19" s="130" t="s">
        <v>22</v>
      </c>
      <c r="Q19" s="131" t="s">
        <v>23</v>
      </c>
      <c r="R19" s="131" t="s">
        <v>23</v>
      </c>
      <c r="S19" s="131" t="s">
        <v>23</v>
      </c>
      <c r="T19" s="131" t="s">
        <v>23</v>
      </c>
      <c r="U19" s="204" t="s">
        <v>23</v>
      </c>
      <c r="V19" s="204" t="s">
        <v>23</v>
      </c>
      <c r="W19" s="207" t="s">
        <v>23</v>
      </c>
      <c r="X19" s="392" t="s">
        <v>23</v>
      </c>
      <c r="Y19" s="208" t="s">
        <v>23</v>
      </c>
      <c r="Z19" s="205">
        <v>1</v>
      </c>
      <c r="AA19" s="130" t="s">
        <v>50</v>
      </c>
      <c r="AB19" s="131">
        <v>25294195</v>
      </c>
      <c r="AC19" s="131" t="s">
        <v>40</v>
      </c>
      <c r="AD19" s="204">
        <v>1.1347359719050101</v>
      </c>
      <c r="AE19" s="204">
        <v>9.1083199999999996E-3</v>
      </c>
      <c r="AF19" s="133">
        <v>8.6804999999999998E-44</v>
      </c>
      <c r="AG19" s="206">
        <v>36</v>
      </c>
      <c r="AH19" s="207" t="s">
        <v>52</v>
      </c>
      <c r="AI19" s="208">
        <v>5.0172632000000002E-2</v>
      </c>
      <c r="AJ19" s="209" t="s">
        <v>53</v>
      </c>
      <c r="AK19" s="210" t="s">
        <v>28</v>
      </c>
    </row>
    <row r="20" spans="2:37" ht="17" x14ac:dyDescent="0.2">
      <c r="B20" s="194">
        <v>6</v>
      </c>
      <c r="C20" s="195">
        <v>1</v>
      </c>
      <c r="D20" s="195" t="s">
        <v>2667</v>
      </c>
      <c r="E20" s="196" t="s">
        <v>1862</v>
      </c>
      <c r="F20" s="194" t="s">
        <v>54</v>
      </c>
      <c r="G20" s="195">
        <v>33556279</v>
      </c>
      <c r="H20" s="195" t="s">
        <v>19</v>
      </c>
      <c r="I20" s="195" t="s">
        <v>20</v>
      </c>
      <c r="J20" s="195" t="s">
        <v>55</v>
      </c>
      <c r="K20" s="197">
        <v>1.0680130931856699</v>
      </c>
      <c r="L20" s="197">
        <v>1.1299999999999999E-2</v>
      </c>
      <c r="M20" s="217">
        <v>5.5889999999999996E-9</v>
      </c>
      <c r="N20" s="391">
        <v>3.1</v>
      </c>
      <c r="O20" s="201">
        <v>0.41799999999999998</v>
      </c>
      <c r="P20" s="194" t="s">
        <v>56</v>
      </c>
      <c r="Q20" s="195">
        <v>33557084</v>
      </c>
      <c r="R20" s="195" t="s">
        <v>40</v>
      </c>
      <c r="S20" s="195" t="s">
        <v>25</v>
      </c>
      <c r="T20" s="195" t="s">
        <v>57</v>
      </c>
      <c r="U20" s="197">
        <v>1.0559068804459699</v>
      </c>
      <c r="V20" s="197">
        <v>1.03E-2</v>
      </c>
      <c r="W20" s="217">
        <v>1.2770000000000001E-7</v>
      </c>
      <c r="X20" s="391">
        <v>24.2</v>
      </c>
      <c r="Y20" s="201">
        <v>0.16889999999999999</v>
      </c>
      <c r="Z20" s="199">
        <v>1</v>
      </c>
      <c r="AA20" s="194" t="s">
        <v>23</v>
      </c>
      <c r="AB20" s="195" t="s">
        <v>23</v>
      </c>
      <c r="AC20" s="195" t="s">
        <v>23</v>
      </c>
      <c r="AD20" s="197" t="s">
        <v>23</v>
      </c>
      <c r="AE20" s="197" t="s">
        <v>23</v>
      </c>
      <c r="AF20" s="196" t="s">
        <v>23</v>
      </c>
      <c r="AG20" s="200" t="s">
        <v>23</v>
      </c>
      <c r="AH20" s="195" t="s">
        <v>23</v>
      </c>
      <c r="AI20" s="201" t="s">
        <v>23</v>
      </c>
      <c r="AJ20" s="202" t="s">
        <v>38</v>
      </c>
      <c r="AK20" s="203" t="s">
        <v>28</v>
      </c>
    </row>
    <row r="21" spans="2:37" ht="17" x14ac:dyDescent="0.2">
      <c r="B21" s="86">
        <v>7</v>
      </c>
      <c r="C21" s="87">
        <v>1</v>
      </c>
      <c r="D21" s="87" t="s">
        <v>2668</v>
      </c>
      <c r="E21" s="89" t="s">
        <v>1576</v>
      </c>
      <c r="F21" s="86" t="s">
        <v>58</v>
      </c>
      <c r="G21" s="87">
        <v>67712157</v>
      </c>
      <c r="H21" s="87" t="s">
        <v>19</v>
      </c>
      <c r="I21" s="87" t="s">
        <v>20</v>
      </c>
      <c r="J21" s="87" t="s">
        <v>59</v>
      </c>
      <c r="K21" s="88">
        <v>0.74326695900597295</v>
      </c>
      <c r="L21" s="88">
        <v>2.01E-2</v>
      </c>
      <c r="M21" s="184">
        <v>4.093E-49</v>
      </c>
      <c r="N21" s="90">
        <v>54.8</v>
      </c>
      <c r="O21" s="185">
        <v>2.7910000000000001E-3</v>
      </c>
      <c r="P21" s="86" t="s">
        <v>22</v>
      </c>
      <c r="Q21" s="87" t="s">
        <v>23</v>
      </c>
      <c r="R21" s="87" t="s">
        <v>23</v>
      </c>
      <c r="S21" s="87" t="s">
        <v>23</v>
      </c>
      <c r="T21" s="87" t="s">
        <v>23</v>
      </c>
      <c r="U21" s="88" t="s">
        <v>23</v>
      </c>
      <c r="V21" s="88" t="s">
        <v>23</v>
      </c>
      <c r="W21" s="184" t="s">
        <v>23</v>
      </c>
      <c r="X21" s="90" t="s">
        <v>23</v>
      </c>
      <c r="Y21" s="185" t="s">
        <v>23</v>
      </c>
      <c r="Z21" s="182">
        <v>3</v>
      </c>
      <c r="AA21" s="86" t="s">
        <v>58</v>
      </c>
      <c r="AB21" s="87">
        <v>67712157</v>
      </c>
      <c r="AC21" s="87" t="s">
        <v>19</v>
      </c>
      <c r="AD21" s="88">
        <v>0.74320750002764302</v>
      </c>
      <c r="AE21" s="88">
        <v>2.04913E-2</v>
      </c>
      <c r="AF21" s="127">
        <v>1.5463299999999999E-47</v>
      </c>
      <c r="AG21" s="183">
        <v>9</v>
      </c>
      <c r="AH21" s="184" t="s">
        <v>60</v>
      </c>
      <c r="AI21" s="185">
        <v>0.28006459299999997</v>
      </c>
      <c r="AJ21" s="186" t="s">
        <v>61</v>
      </c>
      <c r="AK21" s="187" t="s">
        <v>28</v>
      </c>
    </row>
    <row r="22" spans="2:37" ht="17" x14ac:dyDescent="0.2">
      <c r="B22" s="66" t="s">
        <v>28</v>
      </c>
      <c r="C22" s="67" t="s">
        <v>28</v>
      </c>
      <c r="D22" s="67" t="s">
        <v>28</v>
      </c>
      <c r="E22" s="69" t="s">
        <v>28</v>
      </c>
      <c r="F22" s="66" t="s">
        <v>28</v>
      </c>
      <c r="G22" s="67" t="s">
        <v>28</v>
      </c>
      <c r="H22" s="67" t="s">
        <v>28</v>
      </c>
      <c r="I22" s="67" t="s">
        <v>28</v>
      </c>
      <c r="J22" s="67" t="s">
        <v>28</v>
      </c>
      <c r="K22" s="68" t="s">
        <v>28</v>
      </c>
      <c r="L22" s="68" t="s">
        <v>28</v>
      </c>
      <c r="M22" s="213" t="s">
        <v>28</v>
      </c>
      <c r="N22" s="80" t="s">
        <v>28</v>
      </c>
      <c r="O22" s="214" t="s">
        <v>28</v>
      </c>
      <c r="P22" s="66" t="s">
        <v>28</v>
      </c>
      <c r="Q22" s="67" t="s">
        <v>28</v>
      </c>
      <c r="R22" s="67" t="s">
        <v>28</v>
      </c>
      <c r="S22" s="67" t="s">
        <v>28</v>
      </c>
      <c r="T22" s="67" t="s">
        <v>28</v>
      </c>
      <c r="U22" s="68" t="s">
        <v>28</v>
      </c>
      <c r="V22" s="68" t="s">
        <v>28</v>
      </c>
      <c r="W22" s="213" t="s">
        <v>28</v>
      </c>
      <c r="X22" s="80" t="s">
        <v>28</v>
      </c>
      <c r="Y22" s="214" t="s">
        <v>28</v>
      </c>
      <c r="Z22" s="211" t="s">
        <v>28</v>
      </c>
      <c r="AA22" s="66" t="s">
        <v>62</v>
      </c>
      <c r="AB22" s="67">
        <v>67631431</v>
      </c>
      <c r="AC22" s="67" t="s">
        <v>25</v>
      </c>
      <c r="AD22" s="68">
        <v>1.11067284683694</v>
      </c>
      <c r="AE22" s="68">
        <v>9.7295000000000003E-3</v>
      </c>
      <c r="AF22" s="128">
        <v>3.9059799999999998E-27</v>
      </c>
      <c r="AG22" s="212">
        <v>12</v>
      </c>
      <c r="AH22" s="213" t="s">
        <v>63</v>
      </c>
      <c r="AI22" s="214">
        <v>0.165082478</v>
      </c>
      <c r="AJ22" s="215" t="s">
        <v>28</v>
      </c>
      <c r="AK22" s="216" t="s">
        <v>28</v>
      </c>
    </row>
    <row r="23" spans="2:37" ht="17" x14ac:dyDescent="0.2">
      <c r="B23" s="75" t="s">
        <v>28</v>
      </c>
      <c r="C23" s="77" t="s">
        <v>28</v>
      </c>
      <c r="D23" s="77" t="s">
        <v>28</v>
      </c>
      <c r="E23" s="79" t="s">
        <v>28</v>
      </c>
      <c r="F23" s="75" t="s">
        <v>28</v>
      </c>
      <c r="G23" s="77" t="s">
        <v>28</v>
      </c>
      <c r="H23" s="77" t="s">
        <v>28</v>
      </c>
      <c r="I23" s="77" t="s">
        <v>28</v>
      </c>
      <c r="J23" s="77" t="s">
        <v>28</v>
      </c>
      <c r="K23" s="178" t="s">
        <v>28</v>
      </c>
      <c r="L23" s="178" t="s">
        <v>28</v>
      </c>
      <c r="M23" s="190" t="s">
        <v>28</v>
      </c>
      <c r="N23" s="114" t="s">
        <v>28</v>
      </c>
      <c r="O23" s="191" t="s">
        <v>28</v>
      </c>
      <c r="P23" s="75" t="s">
        <v>28</v>
      </c>
      <c r="Q23" s="77" t="s">
        <v>28</v>
      </c>
      <c r="R23" s="77" t="s">
        <v>28</v>
      </c>
      <c r="S23" s="77" t="s">
        <v>28</v>
      </c>
      <c r="T23" s="77" t="s">
        <v>28</v>
      </c>
      <c r="U23" s="178" t="s">
        <v>28</v>
      </c>
      <c r="V23" s="178" t="s">
        <v>28</v>
      </c>
      <c r="W23" s="190" t="s">
        <v>28</v>
      </c>
      <c r="X23" s="114" t="s">
        <v>28</v>
      </c>
      <c r="Y23" s="191" t="s">
        <v>28</v>
      </c>
      <c r="Z23" s="188" t="s">
        <v>28</v>
      </c>
      <c r="AA23" s="75" t="s">
        <v>64</v>
      </c>
      <c r="AB23" s="77">
        <v>67734482</v>
      </c>
      <c r="AC23" s="77" t="s">
        <v>19</v>
      </c>
      <c r="AD23" s="178">
        <v>1.0877693157630599</v>
      </c>
      <c r="AE23" s="178">
        <v>9.9858599999999992E-3</v>
      </c>
      <c r="AF23" s="129">
        <v>3.6132099999999999E-17</v>
      </c>
      <c r="AG23" s="189">
        <v>15</v>
      </c>
      <c r="AH23" s="190" t="s">
        <v>65</v>
      </c>
      <c r="AI23" s="191">
        <v>0.10155289200000001</v>
      </c>
      <c r="AJ23" s="192" t="s">
        <v>28</v>
      </c>
      <c r="AK23" s="193" t="s">
        <v>28</v>
      </c>
    </row>
    <row r="24" spans="2:37" ht="17" x14ac:dyDescent="0.2">
      <c r="B24" s="130">
        <v>8</v>
      </c>
      <c r="C24" s="131">
        <v>1</v>
      </c>
      <c r="D24" s="131" t="s">
        <v>2669</v>
      </c>
      <c r="E24" s="132" t="s">
        <v>1863</v>
      </c>
      <c r="F24" s="130" t="s">
        <v>66</v>
      </c>
      <c r="G24" s="131">
        <v>78450517</v>
      </c>
      <c r="H24" s="131" t="s">
        <v>40</v>
      </c>
      <c r="I24" s="131" t="s">
        <v>20</v>
      </c>
      <c r="J24" s="131" t="s">
        <v>67</v>
      </c>
      <c r="K24" s="204">
        <v>1.1024114415633299</v>
      </c>
      <c r="L24" s="204">
        <v>1.43E-2</v>
      </c>
      <c r="M24" s="207">
        <v>8.2910000000000001E-12</v>
      </c>
      <c r="N24" s="392">
        <v>47</v>
      </c>
      <c r="O24" s="208">
        <v>1.4659999999999999E-2</v>
      </c>
      <c r="P24" s="130" t="s">
        <v>22</v>
      </c>
      <c r="Q24" s="131" t="s">
        <v>23</v>
      </c>
      <c r="R24" s="131" t="s">
        <v>23</v>
      </c>
      <c r="S24" s="131" t="s">
        <v>23</v>
      </c>
      <c r="T24" s="131" t="s">
        <v>23</v>
      </c>
      <c r="U24" s="204" t="s">
        <v>23</v>
      </c>
      <c r="V24" s="204" t="s">
        <v>23</v>
      </c>
      <c r="W24" s="207" t="s">
        <v>23</v>
      </c>
      <c r="X24" s="392" t="s">
        <v>23</v>
      </c>
      <c r="Y24" s="208" t="s">
        <v>23</v>
      </c>
      <c r="Z24" s="205">
        <v>1</v>
      </c>
      <c r="AA24" s="130" t="s">
        <v>66</v>
      </c>
      <c r="AB24" s="131">
        <v>78450517</v>
      </c>
      <c r="AC24" s="131" t="s">
        <v>40</v>
      </c>
      <c r="AD24" s="204">
        <v>1.1024114415633299</v>
      </c>
      <c r="AE24" s="204">
        <v>1.43032E-2</v>
      </c>
      <c r="AF24" s="133">
        <v>9.3191799999999999E-12</v>
      </c>
      <c r="AG24" s="206">
        <v>1</v>
      </c>
      <c r="AH24" s="207" t="s">
        <v>68</v>
      </c>
      <c r="AI24" s="208">
        <v>0.97595707700000001</v>
      </c>
      <c r="AJ24" s="209" t="s">
        <v>69</v>
      </c>
      <c r="AK24" s="210" t="s">
        <v>28</v>
      </c>
    </row>
    <row r="25" spans="2:37" ht="17" x14ac:dyDescent="0.2">
      <c r="B25" s="86">
        <v>9</v>
      </c>
      <c r="C25" s="87">
        <v>1</v>
      </c>
      <c r="D25" s="87" t="s">
        <v>2670</v>
      </c>
      <c r="E25" s="89" t="s">
        <v>1583</v>
      </c>
      <c r="F25" s="86" t="s">
        <v>70</v>
      </c>
      <c r="G25" s="87">
        <v>152590444</v>
      </c>
      <c r="H25" s="87" t="s">
        <v>40</v>
      </c>
      <c r="I25" s="87" t="s">
        <v>25</v>
      </c>
      <c r="J25" s="87" t="s">
        <v>51</v>
      </c>
      <c r="K25" s="88">
        <v>1.1555772469107499</v>
      </c>
      <c r="L25" s="88">
        <v>9.7000000000000003E-3</v>
      </c>
      <c r="M25" s="184">
        <v>2.734E-50</v>
      </c>
      <c r="N25" s="90">
        <v>66.2</v>
      </c>
      <c r="O25" s="395">
        <v>3.756E-5</v>
      </c>
      <c r="P25" s="86" t="s">
        <v>22</v>
      </c>
      <c r="Q25" s="87" t="s">
        <v>23</v>
      </c>
      <c r="R25" s="87" t="s">
        <v>23</v>
      </c>
      <c r="S25" s="87" t="s">
        <v>23</v>
      </c>
      <c r="T25" s="87" t="s">
        <v>23</v>
      </c>
      <c r="U25" s="88" t="s">
        <v>23</v>
      </c>
      <c r="V25" s="88" t="s">
        <v>23</v>
      </c>
      <c r="W25" s="184" t="s">
        <v>23</v>
      </c>
      <c r="X25" s="90" t="s">
        <v>23</v>
      </c>
      <c r="Y25" s="185" t="s">
        <v>23</v>
      </c>
      <c r="Z25" s="182">
        <v>2</v>
      </c>
      <c r="AA25" s="86" t="s">
        <v>70</v>
      </c>
      <c r="AB25" s="87">
        <v>152590444</v>
      </c>
      <c r="AC25" s="87" t="s">
        <v>40</v>
      </c>
      <c r="AD25" s="88">
        <v>1.15570090029151</v>
      </c>
      <c r="AE25" s="88">
        <v>9.7103799999999994E-3</v>
      </c>
      <c r="AF25" s="127">
        <v>3.1842499999999998E-50</v>
      </c>
      <c r="AG25" s="183">
        <v>23</v>
      </c>
      <c r="AH25" s="184" t="s">
        <v>71</v>
      </c>
      <c r="AI25" s="185">
        <v>5.7539615000000002E-2</v>
      </c>
      <c r="AJ25" s="186" t="s">
        <v>72</v>
      </c>
      <c r="AK25" s="187" t="s">
        <v>28</v>
      </c>
    </row>
    <row r="26" spans="2:37" ht="17" x14ac:dyDescent="0.2">
      <c r="B26" s="75" t="s">
        <v>28</v>
      </c>
      <c r="C26" s="77" t="s">
        <v>28</v>
      </c>
      <c r="D26" s="77" t="s">
        <v>28</v>
      </c>
      <c r="E26" s="79" t="s">
        <v>28</v>
      </c>
      <c r="F26" s="75" t="s">
        <v>28</v>
      </c>
      <c r="G26" s="77" t="s">
        <v>28</v>
      </c>
      <c r="H26" s="77" t="s">
        <v>28</v>
      </c>
      <c r="I26" s="77" t="s">
        <v>28</v>
      </c>
      <c r="J26" s="77" t="s">
        <v>28</v>
      </c>
      <c r="K26" s="178" t="s">
        <v>28</v>
      </c>
      <c r="L26" s="178" t="s">
        <v>28</v>
      </c>
      <c r="M26" s="190" t="s">
        <v>28</v>
      </c>
      <c r="N26" s="114" t="s">
        <v>28</v>
      </c>
      <c r="O26" s="79" t="s">
        <v>28</v>
      </c>
      <c r="P26" s="75" t="s">
        <v>28</v>
      </c>
      <c r="Q26" s="77" t="s">
        <v>28</v>
      </c>
      <c r="R26" s="77" t="s">
        <v>28</v>
      </c>
      <c r="S26" s="77" t="s">
        <v>28</v>
      </c>
      <c r="T26" s="77" t="s">
        <v>28</v>
      </c>
      <c r="U26" s="178" t="s">
        <v>28</v>
      </c>
      <c r="V26" s="178" t="s">
        <v>28</v>
      </c>
      <c r="W26" s="190" t="s">
        <v>28</v>
      </c>
      <c r="X26" s="114" t="s">
        <v>28</v>
      </c>
      <c r="Y26" s="191" t="s">
        <v>28</v>
      </c>
      <c r="Z26" s="188" t="s">
        <v>28</v>
      </c>
      <c r="AA26" s="75" t="s">
        <v>73</v>
      </c>
      <c r="AB26" s="77">
        <v>151794100</v>
      </c>
      <c r="AC26" s="77" t="s">
        <v>25</v>
      </c>
      <c r="AD26" s="178">
        <v>1.05819825239695</v>
      </c>
      <c r="AE26" s="178">
        <v>9.6015900000000001E-3</v>
      </c>
      <c r="AF26" s="129">
        <v>3.8271200000000003E-9</v>
      </c>
      <c r="AG26" s="189">
        <v>12</v>
      </c>
      <c r="AH26" s="190" t="s">
        <v>74</v>
      </c>
      <c r="AI26" s="191">
        <v>0.42487844000000002</v>
      </c>
      <c r="AJ26" s="192" t="s">
        <v>28</v>
      </c>
      <c r="AK26" s="193" t="s">
        <v>28</v>
      </c>
    </row>
    <row r="27" spans="2:37" ht="17" x14ac:dyDescent="0.2">
      <c r="B27" s="194">
        <v>10</v>
      </c>
      <c r="C27" s="195">
        <v>1</v>
      </c>
      <c r="D27" s="195" t="s">
        <v>2671</v>
      </c>
      <c r="E27" s="196" t="s">
        <v>1864</v>
      </c>
      <c r="F27" s="194" t="s">
        <v>75</v>
      </c>
      <c r="G27" s="195">
        <v>161493545</v>
      </c>
      <c r="H27" s="195" t="s">
        <v>19</v>
      </c>
      <c r="I27" s="195" t="s">
        <v>20</v>
      </c>
      <c r="J27" s="195" t="s">
        <v>59</v>
      </c>
      <c r="K27" s="197">
        <v>0.93847411930066404</v>
      </c>
      <c r="L27" s="197">
        <v>1.0800000000000001E-2</v>
      </c>
      <c r="M27" s="217">
        <v>4.5859999999999997E-9</v>
      </c>
      <c r="N27" s="391">
        <v>0</v>
      </c>
      <c r="O27" s="201">
        <v>0.98380000000000001</v>
      </c>
      <c r="P27" s="194" t="s">
        <v>22</v>
      </c>
      <c r="Q27" s="195" t="s">
        <v>23</v>
      </c>
      <c r="R27" s="195" t="s">
        <v>23</v>
      </c>
      <c r="S27" s="195" t="s">
        <v>23</v>
      </c>
      <c r="T27" s="195" t="s">
        <v>23</v>
      </c>
      <c r="U27" s="197" t="s">
        <v>23</v>
      </c>
      <c r="V27" s="197" t="s">
        <v>23</v>
      </c>
      <c r="W27" s="217" t="s">
        <v>23</v>
      </c>
      <c r="X27" s="391" t="s">
        <v>23</v>
      </c>
      <c r="Y27" s="201" t="s">
        <v>23</v>
      </c>
      <c r="Z27" s="199">
        <v>1</v>
      </c>
      <c r="AA27" s="194" t="s">
        <v>75</v>
      </c>
      <c r="AB27" s="195">
        <v>161493545</v>
      </c>
      <c r="AC27" s="195" t="s">
        <v>20</v>
      </c>
      <c r="AD27" s="197">
        <v>1.0655594858014701</v>
      </c>
      <c r="AE27" s="197">
        <v>1.08018E-2</v>
      </c>
      <c r="AF27" s="198">
        <v>4.1359899999999999E-9</v>
      </c>
      <c r="AG27" s="200">
        <v>5</v>
      </c>
      <c r="AH27" s="217" t="s">
        <v>76</v>
      </c>
      <c r="AI27" s="201">
        <v>0.28288962299999998</v>
      </c>
      <c r="AJ27" s="202" t="s">
        <v>38</v>
      </c>
      <c r="AK27" s="203" t="s">
        <v>28</v>
      </c>
    </row>
    <row r="28" spans="2:37" ht="34" x14ac:dyDescent="0.2">
      <c r="B28" s="194">
        <v>11</v>
      </c>
      <c r="C28" s="195">
        <v>1</v>
      </c>
      <c r="D28" s="195" t="s">
        <v>2672</v>
      </c>
      <c r="E28" s="196" t="s">
        <v>1865</v>
      </c>
      <c r="F28" s="194" t="s">
        <v>77</v>
      </c>
      <c r="G28" s="195">
        <v>168507463</v>
      </c>
      <c r="H28" s="195" t="s">
        <v>19</v>
      </c>
      <c r="I28" s="195" t="s">
        <v>20</v>
      </c>
      <c r="J28" s="195" t="s">
        <v>78</v>
      </c>
      <c r="K28" s="197">
        <v>0.91566930521430501</v>
      </c>
      <c r="L28" s="197">
        <v>1.32E-2</v>
      </c>
      <c r="M28" s="217">
        <v>2.7479999999999998E-11</v>
      </c>
      <c r="N28" s="391">
        <v>37</v>
      </c>
      <c r="O28" s="201">
        <v>5.8590000000000003E-2</v>
      </c>
      <c r="P28" s="194" t="s">
        <v>22</v>
      </c>
      <c r="Q28" s="195" t="s">
        <v>23</v>
      </c>
      <c r="R28" s="195" t="s">
        <v>23</v>
      </c>
      <c r="S28" s="195" t="s">
        <v>23</v>
      </c>
      <c r="T28" s="195" t="s">
        <v>23</v>
      </c>
      <c r="U28" s="197" t="s">
        <v>23</v>
      </c>
      <c r="V28" s="197" t="s">
        <v>23</v>
      </c>
      <c r="W28" s="217" t="s">
        <v>23</v>
      </c>
      <c r="X28" s="391" t="s">
        <v>23</v>
      </c>
      <c r="Y28" s="201" t="s">
        <v>23</v>
      </c>
      <c r="Z28" s="199">
        <v>1</v>
      </c>
      <c r="AA28" s="194" t="s">
        <v>77</v>
      </c>
      <c r="AB28" s="195">
        <v>168507463</v>
      </c>
      <c r="AC28" s="195" t="s">
        <v>19</v>
      </c>
      <c r="AD28" s="197">
        <v>0.91566930521430501</v>
      </c>
      <c r="AE28" s="197">
        <v>1.3202800000000001E-2</v>
      </c>
      <c r="AF28" s="198">
        <v>2.5096500000000002E-11</v>
      </c>
      <c r="AG28" s="200">
        <v>13</v>
      </c>
      <c r="AH28" s="217" t="s">
        <v>79</v>
      </c>
      <c r="AI28" s="201">
        <v>0.53449450300000001</v>
      </c>
      <c r="AJ28" s="202" t="s">
        <v>38</v>
      </c>
      <c r="AK28" s="203" t="s">
        <v>1758</v>
      </c>
    </row>
    <row r="29" spans="2:37" ht="17" x14ac:dyDescent="0.2">
      <c r="B29" s="130">
        <v>12</v>
      </c>
      <c r="C29" s="131">
        <v>1</v>
      </c>
      <c r="D29" s="131" t="s">
        <v>2673</v>
      </c>
      <c r="E29" s="132" t="s">
        <v>1866</v>
      </c>
      <c r="F29" s="130" t="s">
        <v>80</v>
      </c>
      <c r="G29" s="131">
        <v>172715702</v>
      </c>
      <c r="H29" s="131" t="s">
        <v>40</v>
      </c>
      <c r="I29" s="131" t="s">
        <v>25</v>
      </c>
      <c r="J29" s="131" t="s">
        <v>81</v>
      </c>
      <c r="K29" s="204">
        <v>0.88896270142572398</v>
      </c>
      <c r="L29" s="204">
        <v>1.4200000000000001E-2</v>
      </c>
      <c r="M29" s="207">
        <v>9.3309999999999994E-17</v>
      </c>
      <c r="N29" s="392">
        <v>0</v>
      </c>
      <c r="O29" s="208">
        <v>0.62439999999999996</v>
      </c>
      <c r="P29" s="130" t="s">
        <v>22</v>
      </c>
      <c r="Q29" s="131" t="s">
        <v>23</v>
      </c>
      <c r="R29" s="131" t="s">
        <v>23</v>
      </c>
      <c r="S29" s="131" t="s">
        <v>23</v>
      </c>
      <c r="T29" s="131" t="s">
        <v>23</v>
      </c>
      <c r="U29" s="204" t="s">
        <v>23</v>
      </c>
      <c r="V29" s="204" t="s">
        <v>23</v>
      </c>
      <c r="W29" s="207" t="s">
        <v>23</v>
      </c>
      <c r="X29" s="392" t="s">
        <v>23</v>
      </c>
      <c r="Y29" s="208" t="s">
        <v>23</v>
      </c>
      <c r="Z29" s="205">
        <v>1</v>
      </c>
      <c r="AA29" s="130" t="s">
        <v>80</v>
      </c>
      <c r="AB29" s="131">
        <v>172715702</v>
      </c>
      <c r="AC29" s="131" t="s">
        <v>25</v>
      </c>
      <c r="AD29" s="204">
        <v>1.1249065887648499</v>
      </c>
      <c r="AE29" s="204">
        <v>1.4205000000000001E-2</v>
      </c>
      <c r="AF29" s="133">
        <v>1.1730600000000001E-16</v>
      </c>
      <c r="AG29" s="206">
        <v>1</v>
      </c>
      <c r="AH29" s="207" t="s">
        <v>82</v>
      </c>
      <c r="AI29" s="208">
        <v>0.959830603</v>
      </c>
      <c r="AJ29" s="209" t="s">
        <v>83</v>
      </c>
      <c r="AK29" s="210" t="s">
        <v>28</v>
      </c>
    </row>
    <row r="30" spans="2:37" ht="17" x14ac:dyDescent="0.2">
      <c r="B30" s="130">
        <v>13</v>
      </c>
      <c r="C30" s="131">
        <v>1</v>
      </c>
      <c r="D30" s="131" t="s">
        <v>2674</v>
      </c>
      <c r="E30" s="132" t="s">
        <v>1867</v>
      </c>
      <c r="F30" s="130" t="s">
        <v>84</v>
      </c>
      <c r="G30" s="131">
        <v>197704717</v>
      </c>
      <c r="H30" s="131" t="s">
        <v>19</v>
      </c>
      <c r="I30" s="131" t="s">
        <v>20</v>
      </c>
      <c r="J30" s="131" t="s">
        <v>85</v>
      </c>
      <c r="K30" s="204">
        <v>1.11126610452285</v>
      </c>
      <c r="L30" s="204">
        <v>1.11E-2</v>
      </c>
      <c r="M30" s="207">
        <v>1.926E-21</v>
      </c>
      <c r="N30" s="392">
        <v>10.4</v>
      </c>
      <c r="O30" s="208">
        <v>0.3301</v>
      </c>
      <c r="P30" s="130" t="s">
        <v>22</v>
      </c>
      <c r="Q30" s="131" t="s">
        <v>23</v>
      </c>
      <c r="R30" s="131" t="s">
        <v>23</v>
      </c>
      <c r="S30" s="131" t="s">
        <v>23</v>
      </c>
      <c r="T30" s="131" t="s">
        <v>23</v>
      </c>
      <c r="U30" s="204" t="s">
        <v>23</v>
      </c>
      <c r="V30" s="204" t="s">
        <v>23</v>
      </c>
      <c r="W30" s="207" t="s">
        <v>23</v>
      </c>
      <c r="X30" s="392" t="s">
        <v>23</v>
      </c>
      <c r="Y30" s="208" t="s">
        <v>23</v>
      </c>
      <c r="Z30" s="205">
        <v>1</v>
      </c>
      <c r="AA30" s="130" t="s">
        <v>84</v>
      </c>
      <c r="AB30" s="131">
        <v>197704717</v>
      </c>
      <c r="AC30" s="131" t="s">
        <v>19</v>
      </c>
      <c r="AD30" s="204">
        <v>1.11126610452285</v>
      </c>
      <c r="AE30" s="204">
        <v>1.11047E-2</v>
      </c>
      <c r="AF30" s="133">
        <v>2.0892399999999999E-21</v>
      </c>
      <c r="AG30" s="206">
        <v>8</v>
      </c>
      <c r="AH30" s="207" t="s">
        <v>86</v>
      </c>
      <c r="AI30" s="208">
        <v>0.167168754</v>
      </c>
      <c r="AJ30" s="209" t="s">
        <v>87</v>
      </c>
      <c r="AK30" s="210" t="s">
        <v>28</v>
      </c>
    </row>
    <row r="31" spans="2:37" ht="17" x14ac:dyDescent="0.2">
      <c r="B31" s="86">
        <v>14</v>
      </c>
      <c r="C31" s="87">
        <v>1</v>
      </c>
      <c r="D31" s="87" t="s">
        <v>2675</v>
      </c>
      <c r="E31" s="89" t="s">
        <v>1868</v>
      </c>
      <c r="F31" s="86" t="s">
        <v>88</v>
      </c>
      <c r="G31" s="87">
        <v>206651107</v>
      </c>
      <c r="H31" s="87" t="s">
        <v>40</v>
      </c>
      <c r="I31" s="87" t="s">
        <v>25</v>
      </c>
      <c r="J31" s="87" t="s">
        <v>89</v>
      </c>
      <c r="K31" s="88">
        <v>1.11683634905212</v>
      </c>
      <c r="L31" s="88">
        <v>1.0999999999999999E-2</v>
      </c>
      <c r="M31" s="184">
        <v>8.1680000000000004E-24</v>
      </c>
      <c r="N31" s="90">
        <v>43.9</v>
      </c>
      <c r="O31" s="185">
        <v>2.4070000000000001E-2</v>
      </c>
      <c r="P31" s="86" t="s">
        <v>22</v>
      </c>
      <c r="Q31" s="87" t="s">
        <v>23</v>
      </c>
      <c r="R31" s="87" t="s">
        <v>23</v>
      </c>
      <c r="S31" s="87" t="s">
        <v>23</v>
      </c>
      <c r="T31" s="87" t="s">
        <v>23</v>
      </c>
      <c r="U31" s="88" t="s">
        <v>23</v>
      </c>
      <c r="V31" s="88" t="s">
        <v>23</v>
      </c>
      <c r="W31" s="184" t="s">
        <v>23</v>
      </c>
      <c r="X31" s="90" t="s">
        <v>23</v>
      </c>
      <c r="Y31" s="185" t="s">
        <v>23</v>
      </c>
      <c r="Z31" s="182">
        <v>2</v>
      </c>
      <c r="AA31" s="86" t="s">
        <v>88</v>
      </c>
      <c r="AB31" s="87">
        <v>206651107</v>
      </c>
      <c r="AC31" s="87" t="s">
        <v>40</v>
      </c>
      <c r="AD31" s="88">
        <v>1.1142572060512901</v>
      </c>
      <c r="AE31" s="88">
        <v>1.10127E-2</v>
      </c>
      <c r="AF31" s="127">
        <v>8.8803400000000004E-23</v>
      </c>
      <c r="AG31" s="183">
        <v>7</v>
      </c>
      <c r="AH31" s="184" t="s">
        <v>90</v>
      </c>
      <c r="AI31" s="185">
        <v>0.46634843799999998</v>
      </c>
      <c r="AJ31" s="186" t="s">
        <v>91</v>
      </c>
      <c r="AK31" s="187" t="s">
        <v>28</v>
      </c>
    </row>
    <row r="32" spans="2:37" ht="17" x14ac:dyDescent="0.2">
      <c r="B32" s="75" t="s">
        <v>28</v>
      </c>
      <c r="C32" s="77" t="s">
        <v>28</v>
      </c>
      <c r="D32" s="77" t="s">
        <v>28</v>
      </c>
      <c r="E32" s="79" t="s">
        <v>28</v>
      </c>
      <c r="F32" s="75" t="s">
        <v>28</v>
      </c>
      <c r="G32" s="77" t="s">
        <v>28</v>
      </c>
      <c r="H32" s="77" t="s">
        <v>28</v>
      </c>
      <c r="I32" s="77" t="s">
        <v>28</v>
      </c>
      <c r="J32" s="77" t="s">
        <v>28</v>
      </c>
      <c r="K32" s="178" t="s">
        <v>28</v>
      </c>
      <c r="L32" s="178" t="s">
        <v>28</v>
      </c>
      <c r="M32" s="190" t="s">
        <v>28</v>
      </c>
      <c r="N32" s="114" t="s">
        <v>28</v>
      </c>
      <c r="O32" s="191" t="s">
        <v>28</v>
      </c>
      <c r="P32" s="75" t="s">
        <v>28</v>
      </c>
      <c r="Q32" s="77" t="s">
        <v>28</v>
      </c>
      <c r="R32" s="77" t="s">
        <v>28</v>
      </c>
      <c r="S32" s="77" t="s">
        <v>28</v>
      </c>
      <c r="T32" s="77" t="s">
        <v>28</v>
      </c>
      <c r="U32" s="178" t="s">
        <v>28</v>
      </c>
      <c r="V32" s="178" t="s">
        <v>28</v>
      </c>
      <c r="W32" s="190" t="s">
        <v>28</v>
      </c>
      <c r="X32" s="114" t="s">
        <v>28</v>
      </c>
      <c r="Y32" s="191" t="s">
        <v>28</v>
      </c>
      <c r="Z32" s="188" t="s">
        <v>28</v>
      </c>
      <c r="AA32" s="75" t="s">
        <v>92</v>
      </c>
      <c r="AB32" s="77">
        <v>206943968</v>
      </c>
      <c r="AC32" s="77" t="s">
        <v>40</v>
      </c>
      <c r="AD32" s="178">
        <v>1.0746742581643101</v>
      </c>
      <c r="AE32" s="178">
        <v>1.2510500000000001E-2</v>
      </c>
      <c r="AF32" s="129">
        <v>8.5841600000000007E-9</v>
      </c>
      <c r="AG32" s="189">
        <v>4</v>
      </c>
      <c r="AH32" s="190" t="s">
        <v>93</v>
      </c>
      <c r="AI32" s="191">
        <v>0.33855272400000003</v>
      </c>
      <c r="AJ32" s="192" t="s">
        <v>28</v>
      </c>
      <c r="AK32" s="193" t="s">
        <v>28</v>
      </c>
    </row>
    <row r="33" spans="2:37" ht="17" x14ac:dyDescent="0.2">
      <c r="B33" s="194">
        <v>15</v>
      </c>
      <c r="C33" s="195">
        <v>2</v>
      </c>
      <c r="D33" s="195" t="s">
        <v>2676</v>
      </c>
      <c r="E33" s="196" t="s">
        <v>1869</v>
      </c>
      <c r="F33" s="194" t="s">
        <v>94</v>
      </c>
      <c r="G33" s="195">
        <v>25069727</v>
      </c>
      <c r="H33" s="195" t="s">
        <v>19</v>
      </c>
      <c r="I33" s="195" t="s">
        <v>20</v>
      </c>
      <c r="J33" s="195" t="s">
        <v>95</v>
      </c>
      <c r="K33" s="197">
        <v>0.90284896381793001</v>
      </c>
      <c r="L33" s="197">
        <v>1.4999999999999999E-2</v>
      </c>
      <c r="M33" s="217">
        <v>8.0430000000000004E-12</v>
      </c>
      <c r="N33" s="391">
        <v>0</v>
      </c>
      <c r="O33" s="201">
        <v>0.62160000000000004</v>
      </c>
      <c r="P33" s="194" t="s">
        <v>22</v>
      </c>
      <c r="Q33" s="195" t="s">
        <v>23</v>
      </c>
      <c r="R33" s="195" t="s">
        <v>23</v>
      </c>
      <c r="S33" s="195" t="s">
        <v>23</v>
      </c>
      <c r="T33" s="195" t="s">
        <v>23</v>
      </c>
      <c r="U33" s="197" t="s">
        <v>23</v>
      </c>
      <c r="V33" s="197" t="s">
        <v>23</v>
      </c>
      <c r="W33" s="217" t="s">
        <v>23</v>
      </c>
      <c r="X33" s="391" t="s">
        <v>23</v>
      </c>
      <c r="Y33" s="201" t="s">
        <v>23</v>
      </c>
      <c r="Z33" s="199">
        <v>1</v>
      </c>
      <c r="AA33" s="194" t="s">
        <v>96</v>
      </c>
      <c r="AB33" s="195">
        <v>25069392</v>
      </c>
      <c r="AC33" s="195" t="s">
        <v>25</v>
      </c>
      <c r="AD33" s="197">
        <v>1.1076049705714299</v>
      </c>
      <c r="AE33" s="197">
        <v>1.5003300000000001E-2</v>
      </c>
      <c r="AF33" s="198">
        <v>9.6368100000000004E-12</v>
      </c>
      <c r="AG33" s="200">
        <v>60</v>
      </c>
      <c r="AH33" s="217" t="s">
        <v>97</v>
      </c>
      <c r="AI33" s="201">
        <v>7.0470150999999995E-2</v>
      </c>
      <c r="AJ33" s="202" t="s">
        <v>38</v>
      </c>
      <c r="AK33" s="203" t="s">
        <v>28</v>
      </c>
    </row>
    <row r="34" spans="2:37" ht="17" x14ac:dyDescent="0.2">
      <c r="B34" s="86">
        <v>16</v>
      </c>
      <c r="C34" s="87">
        <v>2</v>
      </c>
      <c r="D34" s="87" t="s">
        <v>2677</v>
      </c>
      <c r="E34" s="89" t="s">
        <v>1813</v>
      </c>
      <c r="F34" s="86" t="s">
        <v>98</v>
      </c>
      <c r="G34" s="87">
        <v>61072567</v>
      </c>
      <c r="H34" s="87" t="s">
        <v>19</v>
      </c>
      <c r="I34" s="87" t="s">
        <v>20</v>
      </c>
      <c r="J34" s="87" t="s">
        <v>51</v>
      </c>
      <c r="K34" s="88">
        <v>1.12998007519726</v>
      </c>
      <c r="L34" s="88">
        <v>9.1999999999999998E-3</v>
      </c>
      <c r="M34" s="184">
        <v>3.9260000000000002E-40</v>
      </c>
      <c r="N34" s="90">
        <v>41.7</v>
      </c>
      <c r="O34" s="185">
        <v>3.3099999999999997E-2</v>
      </c>
      <c r="P34" s="86" t="s">
        <v>22</v>
      </c>
      <c r="Q34" s="87" t="s">
        <v>23</v>
      </c>
      <c r="R34" s="87" t="s">
        <v>23</v>
      </c>
      <c r="S34" s="87" t="s">
        <v>23</v>
      </c>
      <c r="T34" s="87" t="s">
        <v>23</v>
      </c>
      <c r="U34" s="88" t="s">
        <v>23</v>
      </c>
      <c r="V34" s="88" t="s">
        <v>23</v>
      </c>
      <c r="W34" s="184" t="s">
        <v>23</v>
      </c>
      <c r="X34" s="90" t="s">
        <v>23</v>
      </c>
      <c r="Y34" s="185" t="s">
        <v>23</v>
      </c>
      <c r="Z34" s="182">
        <v>2</v>
      </c>
      <c r="AA34" s="86" t="s">
        <v>99</v>
      </c>
      <c r="AB34" s="87">
        <v>61074576</v>
      </c>
      <c r="AC34" s="87" t="s">
        <v>25</v>
      </c>
      <c r="AD34" s="88">
        <v>0.88480057353999197</v>
      </c>
      <c r="AE34" s="88">
        <v>9.2076999999999992E-3</v>
      </c>
      <c r="AF34" s="127">
        <v>2.55923E-40</v>
      </c>
      <c r="AG34" s="183">
        <v>21</v>
      </c>
      <c r="AH34" s="184" t="s">
        <v>100</v>
      </c>
      <c r="AI34" s="185">
        <v>9.8145566000000004E-2</v>
      </c>
      <c r="AJ34" s="186" t="s">
        <v>101</v>
      </c>
      <c r="AK34" s="187" t="s">
        <v>28</v>
      </c>
    </row>
    <row r="35" spans="2:37" ht="17" x14ac:dyDescent="0.2">
      <c r="B35" s="75" t="s">
        <v>28</v>
      </c>
      <c r="C35" s="77" t="s">
        <v>28</v>
      </c>
      <c r="D35" s="77" t="s">
        <v>28</v>
      </c>
      <c r="E35" s="79" t="s">
        <v>28</v>
      </c>
      <c r="F35" s="75" t="s">
        <v>28</v>
      </c>
      <c r="G35" s="77" t="s">
        <v>28</v>
      </c>
      <c r="H35" s="77" t="s">
        <v>28</v>
      </c>
      <c r="I35" s="77" t="s">
        <v>28</v>
      </c>
      <c r="J35" s="77" t="s">
        <v>28</v>
      </c>
      <c r="K35" s="178" t="s">
        <v>28</v>
      </c>
      <c r="L35" s="178" t="s">
        <v>28</v>
      </c>
      <c r="M35" s="190" t="s">
        <v>28</v>
      </c>
      <c r="N35" s="114" t="s">
        <v>28</v>
      </c>
      <c r="O35" s="191" t="s">
        <v>28</v>
      </c>
      <c r="P35" s="75" t="s">
        <v>28</v>
      </c>
      <c r="Q35" s="77" t="s">
        <v>28</v>
      </c>
      <c r="R35" s="77" t="s">
        <v>28</v>
      </c>
      <c r="S35" s="77" t="s">
        <v>28</v>
      </c>
      <c r="T35" s="77" t="s">
        <v>28</v>
      </c>
      <c r="U35" s="178" t="s">
        <v>28</v>
      </c>
      <c r="V35" s="178" t="s">
        <v>28</v>
      </c>
      <c r="W35" s="190" t="s">
        <v>28</v>
      </c>
      <c r="X35" s="114" t="s">
        <v>28</v>
      </c>
      <c r="Y35" s="191" t="s">
        <v>28</v>
      </c>
      <c r="Z35" s="188" t="s">
        <v>28</v>
      </c>
      <c r="AA35" s="75" t="s">
        <v>102</v>
      </c>
      <c r="AB35" s="77">
        <v>62560332</v>
      </c>
      <c r="AC35" s="77" t="s">
        <v>25</v>
      </c>
      <c r="AD35" s="178">
        <v>0.91458003244960295</v>
      </c>
      <c r="AE35" s="178">
        <v>9.4039999999999992E-3</v>
      </c>
      <c r="AF35" s="129">
        <v>2.2036299999999999E-21</v>
      </c>
      <c r="AG35" s="189">
        <v>2</v>
      </c>
      <c r="AH35" s="190" t="s">
        <v>103</v>
      </c>
      <c r="AI35" s="191">
        <v>0.55675502600000004</v>
      </c>
      <c r="AJ35" s="192" t="s">
        <v>28</v>
      </c>
      <c r="AK35" s="193" t="s">
        <v>28</v>
      </c>
    </row>
    <row r="36" spans="2:37" ht="17" x14ac:dyDescent="0.2">
      <c r="B36" s="194">
        <v>17</v>
      </c>
      <c r="C36" s="195">
        <v>2</v>
      </c>
      <c r="D36" s="195" t="s">
        <v>2678</v>
      </c>
      <c r="E36" s="196" t="s">
        <v>1870</v>
      </c>
      <c r="F36" s="194" t="s">
        <v>104</v>
      </c>
      <c r="G36" s="195">
        <v>102600083</v>
      </c>
      <c r="H36" s="195" t="s">
        <v>19</v>
      </c>
      <c r="I36" s="195" t="s">
        <v>20</v>
      </c>
      <c r="J36" s="195" t="s">
        <v>105</v>
      </c>
      <c r="K36" s="197">
        <v>0.94676913609396096</v>
      </c>
      <c r="L36" s="197">
        <v>9.7999999999999997E-3</v>
      </c>
      <c r="M36" s="217">
        <v>2.274E-8</v>
      </c>
      <c r="N36" s="391">
        <v>3.7</v>
      </c>
      <c r="O36" s="201">
        <v>0.41149999999999998</v>
      </c>
      <c r="P36" s="194" t="s">
        <v>22</v>
      </c>
      <c r="Q36" s="195" t="s">
        <v>23</v>
      </c>
      <c r="R36" s="195" t="s">
        <v>23</v>
      </c>
      <c r="S36" s="195" t="s">
        <v>23</v>
      </c>
      <c r="T36" s="195" t="s">
        <v>23</v>
      </c>
      <c r="U36" s="197" t="s">
        <v>23</v>
      </c>
      <c r="V36" s="197" t="s">
        <v>23</v>
      </c>
      <c r="W36" s="217" t="s">
        <v>23</v>
      </c>
      <c r="X36" s="391" t="s">
        <v>23</v>
      </c>
      <c r="Y36" s="201" t="s">
        <v>23</v>
      </c>
      <c r="Z36" s="199">
        <v>1</v>
      </c>
      <c r="AA36" s="194" t="s">
        <v>104</v>
      </c>
      <c r="AB36" s="195">
        <v>102600083</v>
      </c>
      <c r="AC36" s="195" t="s">
        <v>19</v>
      </c>
      <c r="AD36" s="197">
        <v>0.94676913609396096</v>
      </c>
      <c r="AE36" s="197">
        <v>9.8013800000000002E-3</v>
      </c>
      <c r="AF36" s="198">
        <v>2.3935100000000001E-8</v>
      </c>
      <c r="AG36" s="200">
        <v>39</v>
      </c>
      <c r="AH36" s="217" t="s">
        <v>106</v>
      </c>
      <c r="AI36" s="201">
        <v>0.107179649</v>
      </c>
      <c r="AJ36" s="202" t="s">
        <v>38</v>
      </c>
      <c r="AK36" s="203" t="s">
        <v>1759</v>
      </c>
    </row>
    <row r="37" spans="2:37" ht="17" x14ac:dyDescent="0.2">
      <c r="B37" s="194">
        <v>18</v>
      </c>
      <c r="C37" s="195">
        <v>2</v>
      </c>
      <c r="D37" s="195" t="s">
        <v>2679</v>
      </c>
      <c r="E37" s="196" t="s">
        <v>1589</v>
      </c>
      <c r="F37" s="194" t="s">
        <v>107</v>
      </c>
      <c r="G37" s="195">
        <v>111629125</v>
      </c>
      <c r="H37" s="195" t="s">
        <v>19</v>
      </c>
      <c r="I37" s="195" t="s">
        <v>25</v>
      </c>
      <c r="J37" s="195" t="s">
        <v>108</v>
      </c>
      <c r="K37" s="197">
        <v>0.94176453358424905</v>
      </c>
      <c r="L37" s="197">
        <v>9.7999999999999997E-3</v>
      </c>
      <c r="M37" s="217">
        <v>7.6670000000000005E-10</v>
      </c>
      <c r="N37" s="391">
        <v>0</v>
      </c>
      <c r="O37" s="201">
        <v>0.53959999999999997</v>
      </c>
      <c r="P37" s="194" t="s">
        <v>22</v>
      </c>
      <c r="Q37" s="195" t="s">
        <v>23</v>
      </c>
      <c r="R37" s="195" t="s">
        <v>23</v>
      </c>
      <c r="S37" s="195" t="s">
        <v>23</v>
      </c>
      <c r="T37" s="195" t="s">
        <v>23</v>
      </c>
      <c r="U37" s="197" t="s">
        <v>23</v>
      </c>
      <c r="V37" s="197" t="s">
        <v>23</v>
      </c>
      <c r="W37" s="217" t="s">
        <v>23</v>
      </c>
      <c r="X37" s="391" t="s">
        <v>23</v>
      </c>
      <c r="Y37" s="201" t="s">
        <v>23</v>
      </c>
      <c r="Z37" s="199">
        <v>1</v>
      </c>
      <c r="AA37" s="194" t="s">
        <v>107</v>
      </c>
      <c r="AB37" s="195">
        <v>111629125</v>
      </c>
      <c r="AC37" s="195" t="s">
        <v>19</v>
      </c>
      <c r="AD37" s="197">
        <v>0.94176453358424905</v>
      </c>
      <c r="AE37" s="197">
        <v>9.8016900000000001E-3</v>
      </c>
      <c r="AF37" s="198">
        <v>9.2761900000000004E-10</v>
      </c>
      <c r="AG37" s="200">
        <v>78</v>
      </c>
      <c r="AH37" s="217" t="s">
        <v>109</v>
      </c>
      <c r="AI37" s="201">
        <v>0.18449850300000001</v>
      </c>
      <c r="AJ37" s="202" t="s">
        <v>38</v>
      </c>
      <c r="AK37" s="203" t="s">
        <v>28</v>
      </c>
    </row>
    <row r="38" spans="2:37" ht="17" x14ac:dyDescent="0.2">
      <c r="B38" s="86">
        <v>19</v>
      </c>
      <c r="C38" s="87">
        <v>2</v>
      </c>
      <c r="D38" s="87" t="s">
        <v>2680</v>
      </c>
      <c r="E38" s="89" t="s">
        <v>1871</v>
      </c>
      <c r="F38" s="86" t="s">
        <v>110</v>
      </c>
      <c r="G38" s="87">
        <v>163110536</v>
      </c>
      <c r="H38" s="87" t="s">
        <v>40</v>
      </c>
      <c r="I38" s="87" t="s">
        <v>25</v>
      </c>
      <c r="J38" s="87" t="s">
        <v>111</v>
      </c>
      <c r="K38" s="88">
        <v>0.866754068895489</v>
      </c>
      <c r="L38" s="88">
        <v>9.4000000000000004E-3</v>
      </c>
      <c r="M38" s="184">
        <v>7.2870000000000003E-52</v>
      </c>
      <c r="N38" s="90">
        <v>52.1</v>
      </c>
      <c r="O38" s="185">
        <v>5.3400000000000001E-3</v>
      </c>
      <c r="P38" s="86" t="s">
        <v>22</v>
      </c>
      <c r="Q38" s="87" t="s">
        <v>23</v>
      </c>
      <c r="R38" s="87" t="s">
        <v>23</v>
      </c>
      <c r="S38" s="87" t="s">
        <v>23</v>
      </c>
      <c r="T38" s="87" t="s">
        <v>23</v>
      </c>
      <c r="U38" s="88" t="s">
        <v>23</v>
      </c>
      <c r="V38" s="88" t="s">
        <v>23</v>
      </c>
      <c r="W38" s="184" t="s">
        <v>23</v>
      </c>
      <c r="X38" s="90" t="s">
        <v>23</v>
      </c>
      <c r="Y38" s="185" t="s">
        <v>23</v>
      </c>
      <c r="Z38" s="182">
        <v>2</v>
      </c>
      <c r="AA38" s="86" t="s">
        <v>110</v>
      </c>
      <c r="AB38" s="87">
        <v>163110536</v>
      </c>
      <c r="AC38" s="87" t="s">
        <v>25</v>
      </c>
      <c r="AD38" s="88">
        <v>1.11627807045887</v>
      </c>
      <c r="AE38" s="88">
        <v>9.9319200000000003E-3</v>
      </c>
      <c r="AF38" s="127">
        <v>1.65091E-28</v>
      </c>
      <c r="AG38" s="183">
        <v>1</v>
      </c>
      <c r="AH38" s="184" t="s">
        <v>112</v>
      </c>
      <c r="AI38" s="185">
        <v>0.96956429300000002</v>
      </c>
      <c r="AJ38" s="186" t="s">
        <v>113</v>
      </c>
      <c r="AK38" s="187" t="s">
        <v>28</v>
      </c>
    </row>
    <row r="39" spans="2:37" ht="17" x14ac:dyDescent="0.2">
      <c r="B39" s="75" t="s">
        <v>28</v>
      </c>
      <c r="C39" s="77" t="s">
        <v>28</v>
      </c>
      <c r="D39" s="77" t="s">
        <v>28</v>
      </c>
      <c r="E39" s="79" t="s">
        <v>28</v>
      </c>
      <c r="F39" s="75" t="s">
        <v>28</v>
      </c>
      <c r="G39" s="77" t="s">
        <v>28</v>
      </c>
      <c r="H39" s="77" t="s">
        <v>28</v>
      </c>
      <c r="I39" s="77" t="s">
        <v>28</v>
      </c>
      <c r="J39" s="77" t="s">
        <v>28</v>
      </c>
      <c r="K39" s="178" t="s">
        <v>28</v>
      </c>
      <c r="L39" s="178" t="s">
        <v>28</v>
      </c>
      <c r="M39" s="190" t="s">
        <v>28</v>
      </c>
      <c r="N39" s="114" t="s">
        <v>28</v>
      </c>
      <c r="O39" s="191" t="s">
        <v>28</v>
      </c>
      <c r="P39" s="75" t="s">
        <v>28</v>
      </c>
      <c r="Q39" s="77" t="s">
        <v>28</v>
      </c>
      <c r="R39" s="77" t="s">
        <v>28</v>
      </c>
      <c r="S39" s="77" t="s">
        <v>28</v>
      </c>
      <c r="T39" s="77" t="s">
        <v>28</v>
      </c>
      <c r="U39" s="178" t="s">
        <v>28</v>
      </c>
      <c r="V39" s="178" t="s">
        <v>28</v>
      </c>
      <c r="W39" s="190" t="s">
        <v>28</v>
      </c>
      <c r="X39" s="114" t="s">
        <v>28</v>
      </c>
      <c r="Y39" s="191" t="s">
        <v>28</v>
      </c>
      <c r="Z39" s="188" t="s">
        <v>28</v>
      </c>
      <c r="AA39" s="75" t="s">
        <v>114</v>
      </c>
      <c r="AB39" s="77">
        <v>163167746</v>
      </c>
      <c r="AC39" s="77" t="s">
        <v>25</v>
      </c>
      <c r="AD39" s="178">
        <v>0.81439318609508504</v>
      </c>
      <c r="AE39" s="178">
        <v>1.97606E-2</v>
      </c>
      <c r="AF39" s="129">
        <v>2.7549299999999998E-25</v>
      </c>
      <c r="AG39" s="189">
        <v>1</v>
      </c>
      <c r="AH39" s="190" t="s">
        <v>115</v>
      </c>
      <c r="AI39" s="191">
        <v>0.999999784</v>
      </c>
      <c r="AJ39" s="192" t="s">
        <v>28</v>
      </c>
      <c r="AK39" s="193" t="s">
        <v>28</v>
      </c>
    </row>
    <row r="40" spans="2:37" ht="17" x14ac:dyDescent="0.2">
      <c r="B40" s="194">
        <v>20</v>
      </c>
      <c r="C40" s="195">
        <v>2</v>
      </c>
      <c r="D40" s="195" t="s">
        <v>2681</v>
      </c>
      <c r="E40" s="196" t="s">
        <v>1872</v>
      </c>
      <c r="F40" s="194" t="s">
        <v>116</v>
      </c>
      <c r="G40" s="195">
        <v>198534100</v>
      </c>
      <c r="H40" s="195" t="s">
        <v>117</v>
      </c>
      <c r="I40" s="195" t="s">
        <v>20</v>
      </c>
      <c r="J40" s="195" t="s">
        <v>118</v>
      </c>
      <c r="K40" s="197">
        <v>0.93108938187775803</v>
      </c>
      <c r="L40" s="197">
        <v>1.29E-2</v>
      </c>
      <c r="M40" s="217">
        <v>3.1669999999999998E-8</v>
      </c>
      <c r="N40" s="391">
        <v>0</v>
      </c>
      <c r="O40" s="201">
        <v>0.69769999999999999</v>
      </c>
      <c r="P40" s="194" t="s">
        <v>119</v>
      </c>
      <c r="Q40" s="195">
        <v>198535679</v>
      </c>
      <c r="R40" s="195" t="s">
        <v>40</v>
      </c>
      <c r="S40" s="195" t="s">
        <v>25</v>
      </c>
      <c r="T40" s="195" t="s">
        <v>120</v>
      </c>
      <c r="U40" s="197">
        <v>0.94148204659933998</v>
      </c>
      <c r="V40" s="197">
        <v>1.1599999999999999E-2</v>
      </c>
      <c r="W40" s="217">
        <v>2.0310000000000001E-7</v>
      </c>
      <c r="X40" s="391">
        <v>3.8</v>
      </c>
      <c r="Y40" s="201">
        <v>0.40960000000000002</v>
      </c>
      <c r="Z40" s="199">
        <v>1</v>
      </c>
      <c r="AA40" s="194" t="s">
        <v>23</v>
      </c>
      <c r="AB40" s="195" t="s">
        <v>23</v>
      </c>
      <c r="AC40" s="195" t="s">
        <v>23</v>
      </c>
      <c r="AD40" s="197" t="s">
        <v>23</v>
      </c>
      <c r="AE40" s="197" t="s">
        <v>23</v>
      </c>
      <c r="AF40" s="196" t="s">
        <v>23</v>
      </c>
      <c r="AG40" s="200" t="s">
        <v>23</v>
      </c>
      <c r="AH40" s="195" t="s">
        <v>23</v>
      </c>
      <c r="AI40" s="201" t="s">
        <v>23</v>
      </c>
      <c r="AJ40" s="202" t="s">
        <v>38</v>
      </c>
      <c r="AK40" s="203" t="s">
        <v>28</v>
      </c>
    </row>
    <row r="41" spans="2:37" ht="17" x14ac:dyDescent="0.2">
      <c r="B41" s="194">
        <v>21</v>
      </c>
      <c r="C41" s="195">
        <v>2</v>
      </c>
      <c r="D41" s="195" t="s">
        <v>2682</v>
      </c>
      <c r="E41" s="196" t="s">
        <v>1873</v>
      </c>
      <c r="F41" s="194" t="s">
        <v>121</v>
      </c>
      <c r="G41" s="195">
        <v>231156484</v>
      </c>
      <c r="H41" s="195" t="s">
        <v>19</v>
      </c>
      <c r="I41" s="195" t="s">
        <v>25</v>
      </c>
      <c r="J41" s="195" t="s">
        <v>122</v>
      </c>
      <c r="K41" s="197">
        <v>1.0751928060901501</v>
      </c>
      <c r="L41" s="197">
        <v>1.2E-2</v>
      </c>
      <c r="M41" s="217">
        <v>1.397E-9</v>
      </c>
      <c r="N41" s="391">
        <v>0</v>
      </c>
      <c r="O41" s="201">
        <v>0.81230000000000002</v>
      </c>
      <c r="P41" s="194" t="s">
        <v>22</v>
      </c>
      <c r="Q41" s="195" t="s">
        <v>23</v>
      </c>
      <c r="R41" s="195" t="s">
        <v>23</v>
      </c>
      <c r="S41" s="195" t="s">
        <v>23</v>
      </c>
      <c r="T41" s="195" t="s">
        <v>23</v>
      </c>
      <c r="U41" s="197" t="s">
        <v>23</v>
      </c>
      <c r="V41" s="197" t="s">
        <v>23</v>
      </c>
      <c r="W41" s="217" t="s">
        <v>23</v>
      </c>
      <c r="X41" s="391" t="s">
        <v>23</v>
      </c>
      <c r="Y41" s="201" t="s">
        <v>23</v>
      </c>
      <c r="Z41" s="199">
        <v>1</v>
      </c>
      <c r="AA41" s="194" t="s">
        <v>121</v>
      </c>
      <c r="AB41" s="195">
        <v>231156484</v>
      </c>
      <c r="AC41" s="195" t="s">
        <v>19</v>
      </c>
      <c r="AD41" s="197">
        <v>1.0751928060901501</v>
      </c>
      <c r="AE41" s="197">
        <v>1.20021E-2</v>
      </c>
      <c r="AF41" s="198">
        <v>1.53532E-9</v>
      </c>
      <c r="AG41" s="200">
        <v>25</v>
      </c>
      <c r="AH41" s="217" t="s">
        <v>123</v>
      </c>
      <c r="AI41" s="201">
        <v>9.5368099999999997E-2</v>
      </c>
      <c r="AJ41" s="202" t="s">
        <v>38</v>
      </c>
      <c r="AK41" s="203" t="s">
        <v>28</v>
      </c>
    </row>
    <row r="42" spans="2:37" ht="17" x14ac:dyDescent="0.2">
      <c r="B42" s="194">
        <v>22</v>
      </c>
      <c r="C42" s="195">
        <v>2</v>
      </c>
      <c r="D42" s="195" t="s">
        <v>2683</v>
      </c>
      <c r="E42" s="196" t="s">
        <v>1874</v>
      </c>
      <c r="F42" s="194" t="s">
        <v>124</v>
      </c>
      <c r="G42" s="195">
        <v>234110944</v>
      </c>
      <c r="H42" s="195" t="s">
        <v>40</v>
      </c>
      <c r="I42" s="195" t="s">
        <v>25</v>
      </c>
      <c r="J42" s="195" t="s">
        <v>125</v>
      </c>
      <c r="K42" s="197">
        <v>1.0582324327525201</v>
      </c>
      <c r="L42" s="197">
        <v>9.4000000000000004E-3</v>
      </c>
      <c r="M42" s="217">
        <v>1.4289999999999999E-9</v>
      </c>
      <c r="N42" s="391">
        <v>0</v>
      </c>
      <c r="O42" s="201">
        <v>0.79710000000000003</v>
      </c>
      <c r="P42" s="194" t="s">
        <v>22</v>
      </c>
      <c r="Q42" s="195" t="s">
        <v>23</v>
      </c>
      <c r="R42" s="195" t="s">
        <v>23</v>
      </c>
      <c r="S42" s="195" t="s">
        <v>23</v>
      </c>
      <c r="T42" s="195" t="s">
        <v>23</v>
      </c>
      <c r="U42" s="197" t="s">
        <v>23</v>
      </c>
      <c r="V42" s="197" t="s">
        <v>23</v>
      </c>
      <c r="W42" s="217" t="s">
        <v>23</v>
      </c>
      <c r="X42" s="391" t="s">
        <v>23</v>
      </c>
      <c r="Y42" s="201" t="s">
        <v>23</v>
      </c>
      <c r="Z42" s="199">
        <v>1</v>
      </c>
      <c r="AA42" s="194" t="s">
        <v>124</v>
      </c>
      <c r="AB42" s="195">
        <v>234110944</v>
      </c>
      <c r="AC42" s="195" t="s">
        <v>25</v>
      </c>
      <c r="AD42" s="197">
        <v>0.94497198257187198</v>
      </c>
      <c r="AE42" s="197">
        <v>9.4016800000000008E-3</v>
      </c>
      <c r="AF42" s="198">
        <v>1.7420199999999999E-9</v>
      </c>
      <c r="AG42" s="200">
        <v>5</v>
      </c>
      <c r="AH42" s="217" t="s">
        <v>126</v>
      </c>
      <c r="AI42" s="201">
        <v>0.60566668199999996</v>
      </c>
      <c r="AJ42" s="202" t="s">
        <v>38</v>
      </c>
      <c r="AK42" s="203" t="s">
        <v>28</v>
      </c>
    </row>
    <row r="43" spans="2:37" ht="17" x14ac:dyDescent="0.2">
      <c r="B43" s="194">
        <v>23</v>
      </c>
      <c r="C43" s="195">
        <v>2</v>
      </c>
      <c r="D43" s="195" t="s">
        <v>2684</v>
      </c>
      <c r="E43" s="196" t="s">
        <v>1875</v>
      </c>
      <c r="F43" s="194" t="s">
        <v>127</v>
      </c>
      <c r="G43" s="195">
        <v>239007563</v>
      </c>
      <c r="H43" s="195" t="s">
        <v>19</v>
      </c>
      <c r="I43" s="195" t="s">
        <v>20</v>
      </c>
      <c r="J43" s="195" t="s">
        <v>128</v>
      </c>
      <c r="K43" s="197">
        <v>1.0664122744600899</v>
      </c>
      <c r="L43" s="197">
        <v>1.0800000000000001E-2</v>
      </c>
      <c r="M43" s="217">
        <v>2.9079999999999999E-9</v>
      </c>
      <c r="N43" s="391">
        <v>0</v>
      </c>
      <c r="O43" s="201">
        <v>0.72899999999999998</v>
      </c>
      <c r="P43" s="194" t="s">
        <v>22</v>
      </c>
      <c r="Q43" s="195" t="s">
        <v>23</v>
      </c>
      <c r="R43" s="195" t="s">
        <v>23</v>
      </c>
      <c r="S43" s="195" t="s">
        <v>23</v>
      </c>
      <c r="T43" s="195" t="s">
        <v>23</v>
      </c>
      <c r="U43" s="197" t="s">
        <v>23</v>
      </c>
      <c r="V43" s="197" t="s">
        <v>23</v>
      </c>
      <c r="W43" s="217" t="s">
        <v>23</v>
      </c>
      <c r="X43" s="391" t="s">
        <v>23</v>
      </c>
      <c r="Y43" s="201" t="s">
        <v>23</v>
      </c>
      <c r="Z43" s="199">
        <v>1</v>
      </c>
      <c r="AA43" s="194" t="s">
        <v>127</v>
      </c>
      <c r="AB43" s="195">
        <v>239007563</v>
      </c>
      <c r="AC43" s="195" t="s">
        <v>19</v>
      </c>
      <c r="AD43" s="197">
        <v>1.0664122744600899</v>
      </c>
      <c r="AE43" s="197">
        <v>1.08019E-2</v>
      </c>
      <c r="AF43" s="198">
        <v>2.6379000000000002E-9</v>
      </c>
      <c r="AG43" s="200">
        <v>163</v>
      </c>
      <c r="AH43" s="217" t="s">
        <v>129</v>
      </c>
      <c r="AI43" s="201">
        <v>0.148071114</v>
      </c>
      <c r="AJ43" s="202" t="s">
        <v>38</v>
      </c>
      <c r="AK43" s="203" t="s">
        <v>28</v>
      </c>
    </row>
    <row r="44" spans="2:37" ht="17" x14ac:dyDescent="0.2">
      <c r="B44" s="130">
        <v>24</v>
      </c>
      <c r="C44" s="131">
        <v>3</v>
      </c>
      <c r="D44" s="131" t="s">
        <v>2685</v>
      </c>
      <c r="E44" s="132" t="s">
        <v>1876</v>
      </c>
      <c r="F44" s="130" t="s">
        <v>130</v>
      </c>
      <c r="G44" s="131">
        <v>17056031</v>
      </c>
      <c r="H44" s="131" t="s">
        <v>40</v>
      </c>
      <c r="I44" s="131" t="s">
        <v>25</v>
      </c>
      <c r="J44" s="131" t="s">
        <v>131</v>
      </c>
      <c r="K44" s="204">
        <v>0.92820747405898296</v>
      </c>
      <c r="L44" s="204">
        <v>9.1000000000000004E-3</v>
      </c>
      <c r="M44" s="207">
        <v>2.4230000000000001E-16</v>
      </c>
      <c r="N44" s="392">
        <v>0</v>
      </c>
      <c r="O44" s="208">
        <v>0.52229999999999999</v>
      </c>
      <c r="P44" s="130" t="s">
        <v>22</v>
      </c>
      <c r="Q44" s="131" t="s">
        <v>23</v>
      </c>
      <c r="R44" s="131" t="s">
        <v>23</v>
      </c>
      <c r="S44" s="131" t="s">
        <v>23</v>
      </c>
      <c r="T44" s="131" t="s">
        <v>23</v>
      </c>
      <c r="U44" s="204" t="s">
        <v>23</v>
      </c>
      <c r="V44" s="204" t="s">
        <v>23</v>
      </c>
      <c r="W44" s="207" t="s">
        <v>23</v>
      </c>
      <c r="X44" s="392" t="s">
        <v>23</v>
      </c>
      <c r="Y44" s="208" t="s">
        <v>23</v>
      </c>
      <c r="Z44" s="205">
        <v>1</v>
      </c>
      <c r="AA44" s="130" t="s">
        <v>130</v>
      </c>
      <c r="AB44" s="131">
        <v>17056031</v>
      </c>
      <c r="AC44" s="131" t="s">
        <v>40</v>
      </c>
      <c r="AD44" s="204">
        <v>0.92820747405898296</v>
      </c>
      <c r="AE44" s="204">
        <v>9.1028600000000008E-3</v>
      </c>
      <c r="AF44" s="133">
        <v>2.7402399999999998E-16</v>
      </c>
      <c r="AG44" s="206">
        <v>50</v>
      </c>
      <c r="AH44" s="207" t="s">
        <v>132</v>
      </c>
      <c r="AI44" s="208">
        <v>0.152336306</v>
      </c>
      <c r="AJ44" s="209" t="s">
        <v>133</v>
      </c>
      <c r="AK44" s="210" t="s">
        <v>28</v>
      </c>
    </row>
    <row r="45" spans="2:37" ht="17" x14ac:dyDescent="0.2">
      <c r="B45" s="130">
        <v>25</v>
      </c>
      <c r="C45" s="131">
        <v>3</v>
      </c>
      <c r="D45" s="131" t="s">
        <v>2686</v>
      </c>
      <c r="E45" s="132" t="s">
        <v>1877</v>
      </c>
      <c r="F45" s="130" t="s">
        <v>134</v>
      </c>
      <c r="G45" s="131">
        <v>101628519</v>
      </c>
      <c r="H45" s="131" t="s">
        <v>19</v>
      </c>
      <c r="I45" s="131" t="s">
        <v>25</v>
      </c>
      <c r="J45" s="131" t="s">
        <v>135</v>
      </c>
      <c r="K45" s="204">
        <v>0.89888515515114098</v>
      </c>
      <c r="L45" s="204">
        <v>1.1599999999999999E-2</v>
      </c>
      <c r="M45" s="207">
        <v>4.0300000000000002E-20</v>
      </c>
      <c r="N45" s="392">
        <v>33.5</v>
      </c>
      <c r="O45" s="208">
        <v>8.8279999999999997E-2</v>
      </c>
      <c r="P45" s="130" t="s">
        <v>22</v>
      </c>
      <c r="Q45" s="131" t="s">
        <v>23</v>
      </c>
      <c r="R45" s="131" t="s">
        <v>23</v>
      </c>
      <c r="S45" s="131" t="s">
        <v>23</v>
      </c>
      <c r="T45" s="131" t="s">
        <v>23</v>
      </c>
      <c r="U45" s="204" t="s">
        <v>23</v>
      </c>
      <c r="V45" s="204" t="s">
        <v>23</v>
      </c>
      <c r="W45" s="207" t="s">
        <v>23</v>
      </c>
      <c r="X45" s="392" t="s">
        <v>23</v>
      </c>
      <c r="Y45" s="208" t="s">
        <v>23</v>
      </c>
      <c r="Z45" s="205">
        <v>1</v>
      </c>
      <c r="AA45" s="130" t="s">
        <v>134</v>
      </c>
      <c r="AB45" s="131">
        <v>101628519</v>
      </c>
      <c r="AC45" s="131" t="s">
        <v>25</v>
      </c>
      <c r="AD45" s="204">
        <v>1.1124891698004</v>
      </c>
      <c r="AE45" s="204">
        <v>1.16048E-2</v>
      </c>
      <c r="AF45" s="133">
        <v>4.0813700000000002E-20</v>
      </c>
      <c r="AG45" s="206">
        <v>15</v>
      </c>
      <c r="AH45" s="207" t="s">
        <v>136</v>
      </c>
      <c r="AI45" s="208">
        <v>0.30042046100000003</v>
      </c>
      <c r="AJ45" s="209" t="s">
        <v>137</v>
      </c>
      <c r="AK45" s="210" t="s">
        <v>28</v>
      </c>
    </row>
    <row r="46" spans="2:37" ht="17" x14ac:dyDescent="0.2">
      <c r="B46" s="194">
        <v>26</v>
      </c>
      <c r="C46" s="195">
        <v>3</v>
      </c>
      <c r="D46" s="195" t="s">
        <v>2687</v>
      </c>
      <c r="E46" s="196" t="s">
        <v>1878</v>
      </c>
      <c r="F46" s="194" t="s">
        <v>138</v>
      </c>
      <c r="G46" s="195">
        <v>156542637</v>
      </c>
      <c r="H46" s="195" t="s">
        <v>20</v>
      </c>
      <c r="I46" s="195" t="s">
        <v>25</v>
      </c>
      <c r="J46" s="195" t="s">
        <v>111</v>
      </c>
      <c r="K46" s="197">
        <v>0.94961370822701396</v>
      </c>
      <c r="L46" s="197">
        <v>9.4000000000000004E-3</v>
      </c>
      <c r="M46" s="217">
        <v>3.32E-8</v>
      </c>
      <c r="N46" s="391">
        <v>0</v>
      </c>
      <c r="O46" s="201">
        <v>0.78869999999999996</v>
      </c>
      <c r="P46" s="194" t="s">
        <v>22</v>
      </c>
      <c r="Q46" s="195" t="s">
        <v>23</v>
      </c>
      <c r="R46" s="195" t="s">
        <v>23</v>
      </c>
      <c r="S46" s="195" t="s">
        <v>23</v>
      </c>
      <c r="T46" s="195" t="s">
        <v>23</v>
      </c>
      <c r="U46" s="197" t="s">
        <v>23</v>
      </c>
      <c r="V46" s="197" t="s">
        <v>23</v>
      </c>
      <c r="W46" s="217" t="s">
        <v>23</v>
      </c>
      <c r="X46" s="391" t="s">
        <v>23</v>
      </c>
      <c r="Y46" s="201" t="s">
        <v>23</v>
      </c>
      <c r="Z46" s="199">
        <v>1</v>
      </c>
      <c r="AA46" s="194" t="s">
        <v>138</v>
      </c>
      <c r="AB46" s="195">
        <v>156542637</v>
      </c>
      <c r="AC46" s="195" t="s">
        <v>20</v>
      </c>
      <c r="AD46" s="197">
        <v>0.94961370822701396</v>
      </c>
      <c r="AE46" s="197">
        <v>9.4013199999999995E-3</v>
      </c>
      <c r="AF46" s="198">
        <v>3.8146399999999998E-8</v>
      </c>
      <c r="AG46" s="200">
        <v>22</v>
      </c>
      <c r="AH46" s="217" t="s">
        <v>139</v>
      </c>
      <c r="AI46" s="201">
        <v>0.12128734200000001</v>
      </c>
      <c r="AJ46" s="202" t="s">
        <v>38</v>
      </c>
      <c r="AK46" s="203" t="s">
        <v>28</v>
      </c>
    </row>
    <row r="47" spans="2:37" ht="17" x14ac:dyDescent="0.2">
      <c r="B47" s="194">
        <v>27</v>
      </c>
      <c r="C47" s="195">
        <v>3</v>
      </c>
      <c r="D47" s="195" t="s">
        <v>2688</v>
      </c>
      <c r="E47" s="196" t="s">
        <v>1879</v>
      </c>
      <c r="F47" s="194" t="s">
        <v>140</v>
      </c>
      <c r="G47" s="195">
        <v>188121019</v>
      </c>
      <c r="H47" s="195" t="s">
        <v>19</v>
      </c>
      <c r="I47" s="195" t="s">
        <v>20</v>
      </c>
      <c r="J47" s="195" t="s">
        <v>141</v>
      </c>
      <c r="K47" s="197">
        <v>0.95065885803307104</v>
      </c>
      <c r="L47" s="197">
        <v>9.1999999999999998E-3</v>
      </c>
      <c r="M47" s="217">
        <v>3.4340000000000002E-8</v>
      </c>
      <c r="N47" s="391">
        <v>19.899999999999999</v>
      </c>
      <c r="O47" s="201">
        <v>0.21679999999999999</v>
      </c>
      <c r="P47" s="194" t="s">
        <v>22</v>
      </c>
      <c r="Q47" s="195" t="s">
        <v>23</v>
      </c>
      <c r="R47" s="195" t="s">
        <v>23</v>
      </c>
      <c r="S47" s="195" t="s">
        <v>23</v>
      </c>
      <c r="T47" s="195" t="s">
        <v>23</v>
      </c>
      <c r="U47" s="197" t="s">
        <v>23</v>
      </c>
      <c r="V47" s="197" t="s">
        <v>23</v>
      </c>
      <c r="W47" s="217" t="s">
        <v>23</v>
      </c>
      <c r="X47" s="391" t="s">
        <v>23</v>
      </c>
      <c r="Y47" s="201" t="s">
        <v>23</v>
      </c>
      <c r="Z47" s="199">
        <v>1</v>
      </c>
      <c r="AA47" s="194" t="s">
        <v>140</v>
      </c>
      <c r="AB47" s="195">
        <v>188121019</v>
      </c>
      <c r="AC47" s="195" t="s">
        <v>19</v>
      </c>
      <c r="AD47" s="197">
        <v>0.95065885803307104</v>
      </c>
      <c r="AE47" s="197">
        <v>9.2013000000000008E-3</v>
      </c>
      <c r="AF47" s="198">
        <v>3.8146700000000001E-8</v>
      </c>
      <c r="AG47" s="200">
        <v>42</v>
      </c>
      <c r="AH47" s="217" t="s">
        <v>142</v>
      </c>
      <c r="AI47" s="201">
        <v>9.7589450999999994E-2</v>
      </c>
      <c r="AJ47" s="202" t="s">
        <v>38</v>
      </c>
      <c r="AK47" s="203" t="s">
        <v>28</v>
      </c>
    </row>
    <row r="48" spans="2:37" ht="17" x14ac:dyDescent="0.2">
      <c r="B48" s="194">
        <v>28</v>
      </c>
      <c r="C48" s="195">
        <v>3</v>
      </c>
      <c r="D48" s="195" t="s">
        <v>2689</v>
      </c>
      <c r="E48" s="196" t="s">
        <v>1817</v>
      </c>
      <c r="F48" s="194" t="s">
        <v>143</v>
      </c>
      <c r="G48" s="195">
        <v>189220585</v>
      </c>
      <c r="H48" s="195" t="s">
        <v>40</v>
      </c>
      <c r="I48" s="195" t="s">
        <v>25</v>
      </c>
      <c r="J48" s="195" t="s">
        <v>144</v>
      </c>
      <c r="K48" s="197">
        <v>1.1669575764648701</v>
      </c>
      <c r="L48" s="197">
        <v>2.5700000000000001E-2</v>
      </c>
      <c r="M48" s="217">
        <v>1.827E-9</v>
      </c>
      <c r="N48" s="391">
        <v>19.899999999999999</v>
      </c>
      <c r="O48" s="201">
        <v>0.22120000000000001</v>
      </c>
      <c r="P48" s="194" t="s">
        <v>22</v>
      </c>
      <c r="Q48" s="195" t="s">
        <v>23</v>
      </c>
      <c r="R48" s="195" t="s">
        <v>23</v>
      </c>
      <c r="S48" s="195" t="s">
        <v>23</v>
      </c>
      <c r="T48" s="195" t="s">
        <v>23</v>
      </c>
      <c r="U48" s="197" t="s">
        <v>23</v>
      </c>
      <c r="V48" s="197" t="s">
        <v>23</v>
      </c>
      <c r="W48" s="217" t="s">
        <v>23</v>
      </c>
      <c r="X48" s="391" t="s">
        <v>23</v>
      </c>
      <c r="Y48" s="201" t="s">
        <v>23</v>
      </c>
      <c r="Z48" s="199">
        <v>1</v>
      </c>
      <c r="AA48" s="194" t="s">
        <v>143</v>
      </c>
      <c r="AB48" s="195">
        <v>189220585</v>
      </c>
      <c r="AC48" s="195" t="s">
        <v>25</v>
      </c>
      <c r="AD48" s="197">
        <v>0.85692918077567104</v>
      </c>
      <c r="AE48" s="197">
        <v>2.5704299999999999E-2</v>
      </c>
      <c r="AF48" s="198">
        <v>1.8925699999999998E-9</v>
      </c>
      <c r="AG48" s="200">
        <v>1</v>
      </c>
      <c r="AH48" s="217" t="s">
        <v>145</v>
      </c>
      <c r="AI48" s="201">
        <v>0.99971858000000002</v>
      </c>
      <c r="AJ48" s="202" t="s">
        <v>38</v>
      </c>
      <c r="AK48" s="203" t="s">
        <v>28</v>
      </c>
    </row>
    <row r="49" spans="2:37" ht="17" x14ac:dyDescent="0.2">
      <c r="B49" s="130">
        <v>29</v>
      </c>
      <c r="C49" s="131">
        <v>3</v>
      </c>
      <c r="D49" s="131" t="s">
        <v>2689</v>
      </c>
      <c r="E49" s="132" t="s">
        <v>1880</v>
      </c>
      <c r="F49" s="130" t="s">
        <v>146</v>
      </c>
      <c r="G49" s="131">
        <v>189662658</v>
      </c>
      <c r="H49" s="131" t="s">
        <v>25</v>
      </c>
      <c r="I49" s="131" t="s">
        <v>147</v>
      </c>
      <c r="J49" s="131" t="s">
        <v>45</v>
      </c>
      <c r="K49" s="204">
        <v>0.89109877417112504</v>
      </c>
      <c r="L49" s="204">
        <v>1.2699999999999999E-2</v>
      </c>
      <c r="M49" s="207">
        <v>1.0999999999999999E-19</v>
      </c>
      <c r="N49" s="392">
        <v>22.7</v>
      </c>
      <c r="O49" s="208">
        <v>0.185</v>
      </c>
      <c r="P49" s="130" t="s">
        <v>22</v>
      </c>
      <c r="Q49" s="131" t="s">
        <v>23</v>
      </c>
      <c r="R49" s="131" t="s">
        <v>23</v>
      </c>
      <c r="S49" s="131" t="s">
        <v>23</v>
      </c>
      <c r="T49" s="131" t="s">
        <v>23</v>
      </c>
      <c r="U49" s="204" t="s">
        <v>23</v>
      </c>
      <c r="V49" s="204" t="s">
        <v>23</v>
      </c>
      <c r="W49" s="207" t="s">
        <v>23</v>
      </c>
      <c r="X49" s="392" t="s">
        <v>23</v>
      </c>
      <c r="Y49" s="208" t="s">
        <v>23</v>
      </c>
      <c r="Z49" s="205">
        <v>1</v>
      </c>
      <c r="AA49" s="130" t="s">
        <v>146</v>
      </c>
      <c r="AB49" s="131">
        <v>189662658</v>
      </c>
      <c r="AC49" s="131" t="s">
        <v>25</v>
      </c>
      <c r="AD49" s="204">
        <v>0.89109877417112504</v>
      </c>
      <c r="AE49" s="204">
        <v>1.2705299999999999E-2</v>
      </c>
      <c r="AF49" s="133">
        <v>1.1368999999999999E-19</v>
      </c>
      <c r="AG49" s="206">
        <v>1</v>
      </c>
      <c r="AH49" s="207" t="s">
        <v>148</v>
      </c>
      <c r="AI49" s="208">
        <v>0.99972773199999998</v>
      </c>
      <c r="AJ49" s="209" t="s">
        <v>149</v>
      </c>
      <c r="AK49" s="210" t="s">
        <v>28</v>
      </c>
    </row>
    <row r="50" spans="2:37" ht="17" x14ac:dyDescent="0.2">
      <c r="B50" s="194">
        <v>30</v>
      </c>
      <c r="C50" s="195">
        <v>3</v>
      </c>
      <c r="D50" s="195" t="s">
        <v>2690</v>
      </c>
      <c r="E50" s="196" t="s">
        <v>1881</v>
      </c>
      <c r="F50" s="194" t="s">
        <v>150</v>
      </c>
      <c r="G50" s="195">
        <v>196349234</v>
      </c>
      <c r="H50" s="195" t="s">
        <v>19</v>
      </c>
      <c r="I50" s="195" t="s">
        <v>20</v>
      </c>
      <c r="J50" s="195" t="s">
        <v>151</v>
      </c>
      <c r="K50" s="197">
        <v>1.0537971770916701</v>
      </c>
      <c r="L50" s="197">
        <v>9.2999999999999992E-3</v>
      </c>
      <c r="M50" s="217">
        <v>1.5729999999999999E-8</v>
      </c>
      <c r="N50" s="391">
        <v>25</v>
      </c>
      <c r="O50" s="201">
        <v>0.15989999999999999</v>
      </c>
      <c r="P50" s="194" t="s">
        <v>22</v>
      </c>
      <c r="Q50" s="195" t="s">
        <v>23</v>
      </c>
      <c r="R50" s="195" t="s">
        <v>23</v>
      </c>
      <c r="S50" s="195" t="s">
        <v>23</v>
      </c>
      <c r="T50" s="195" t="s">
        <v>23</v>
      </c>
      <c r="U50" s="197" t="s">
        <v>23</v>
      </c>
      <c r="V50" s="197" t="s">
        <v>23</v>
      </c>
      <c r="W50" s="217" t="s">
        <v>23</v>
      </c>
      <c r="X50" s="391" t="s">
        <v>23</v>
      </c>
      <c r="Y50" s="201" t="s">
        <v>23</v>
      </c>
      <c r="Z50" s="199">
        <v>1</v>
      </c>
      <c r="AA50" s="194" t="s">
        <v>150</v>
      </c>
      <c r="AB50" s="195">
        <v>196349234</v>
      </c>
      <c r="AC50" s="195" t="s">
        <v>20</v>
      </c>
      <c r="AD50" s="197">
        <v>0.948949211232337</v>
      </c>
      <c r="AE50" s="197">
        <v>9.3013999999999996E-3</v>
      </c>
      <c r="AF50" s="198">
        <v>1.7652300000000001E-8</v>
      </c>
      <c r="AG50" s="200">
        <v>7</v>
      </c>
      <c r="AH50" s="217" t="s">
        <v>152</v>
      </c>
      <c r="AI50" s="201">
        <v>0.23975944599999999</v>
      </c>
      <c r="AJ50" s="202" t="s">
        <v>38</v>
      </c>
      <c r="AK50" s="203" t="s">
        <v>28</v>
      </c>
    </row>
    <row r="51" spans="2:37" ht="34" x14ac:dyDescent="0.2">
      <c r="B51" s="218">
        <v>31</v>
      </c>
      <c r="C51" s="219">
        <v>4</v>
      </c>
      <c r="D51" s="219" t="s">
        <v>2691</v>
      </c>
      <c r="E51" s="220" t="s">
        <v>1882</v>
      </c>
      <c r="F51" s="218" t="s">
        <v>153</v>
      </c>
      <c r="G51" s="219">
        <v>123539854</v>
      </c>
      <c r="H51" s="219" t="s">
        <v>40</v>
      </c>
      <c r="I51" s="219" t="s">
        <v>25</v>
      </c>
      <c r="J51" s="219" t="s">
        <v>154</v>
      </c>
      <c r="K51" s="221">
        <v>0.91667709563315203</v>
      </c>
      <c r="L51" s="221">
        <v>1.2500000000000001E-2</v>
      </c>
      <c r="M51" s="225">
        <v>2.9259999999999999E-12</v>
      </c>
      <c r="N51" s="393">
        <v>36.9</v>
      </c>
      <c r="O51" s="226">
        <v>5.8720000000000001E-2</v>
      </c>
      <c r="P51" s="218" t="s">
        <v>22</v>
      </c>
      <c r="Q51" s="219" t="s">
        <v>23</v>
      </c>
      <c r="R51" s="219" t="s">
        <v>23</v>
      </c>
      <c r="S51" s="219" t="s">
        <v>23</v>
      </c>
      <c r="T51" s="219" t="s">
        <v>23</v>
      </c>
      <c r="U51" s="221" t="s">
        <v>23</v>
      </c>
      <c r="V51" s="221" t="s">
        <v>23</v>
      </c>
      <c r="W51" s="225" t="s">
        <v>23</v>
      </c>
      <c r="X51" s="393" t="s">
        <v>23</v>
      </c>
      <c r="Y51" s="226" t="s">
        <v>23</v>
      </c>
      <c r="Z51" s="223">
        <v>2</v>
      </c>
      <c r="AA51" s="218" t="s">
        <v>155</v>
      </c>
      <c r="AB51" s="219">
        <v>123509421</v>
      </c>
      <c r="AC51" s="219" t="s">
        <v>19</v>
      </c>
      <c r="AD51" s="221">
        <v>0.91161119598498197</v>
      </c>
      <c r="AE51" s="221">
        <v>1.24437E-2</v>
      </c>
      <c r="AF51" s="222">
        <v>1.03136E-13</v>
      </c>
      <c r="AG51" s="224">
        <v>19</v>
      </c>
      <c r="AH51" s="225" t="s">
        <v>156</v>
      </c>
      <c r="AI51" s="226">
        <v>0.106741451</v>
      </c>
      <c r="AJ51" s="227" t="s">
        <v>38</v>
      </c>
      <c r="AK51" s="228" t="s">
        <v>1761</v>
      </c>
    </row>
    <row r="52" spans="2:37" ht="17" x14ac:dyDescent="0.2">
      <c r="B52" s="229" t="s">
        <v>28</v>
      </c>
      <c r="C52" s="230" t="s">
        <v>28</v>
      </c>
      <c r="D52" s="230" t="s">
        <v>28</v>
      </c>
      <c r="E52" s="231" t="s">
        <v>28</v>
      </c>
      <c r="F52" s="229" t="s">
        <v>28</v>
      </c>
      <c r="G52" s="230" t="s">
        <v>28</v>
      </c>
      <c r="H52" s="230" t="s">
        <v>28</v>
      </c>
      <c r="I52" s="230" t="s">
        <v>28</v>
      </c>
      <c r="J52" s="230" t="s">
        <v>28</v>
      </c>
      <c r="K52" s="232" t="s">
        <v>28</v>
      </c>
      <c r="L52" s="232" t="s">
        <v>28</v>
      </c>
      <c r="M52" s="236" t="s">
        <v>28</v>
      </c>
      <c r="N52" s="394" t="s">
        <v>28</v>
      </c>
      <c r="O52" s="237" t="s">
        <v>28</v>
      </c>
      <c r="P52" s="229" t="s">
        <v>28</v>
      </c>
      <c r="Q52" s="230" t="s">
        <v>28</v>
      </c>
      <c r="R52" s="230" t="s">
        <v>28</v>
      </c>
      <c r="S52" s="230" t="s">
        <v>28</v>
      </c>
      <c r="T52" s="230" t="s">
        <v>28</v>
      </c>
      <c r="U52" s="232" t="s">
        <v>28</v>
      </c>
      <c r="V52" s="232" t="s">
        <v>28</v>
      </c>
      <c r="W52" s="236" t="s">
        <v>28</v>
      </c>
      <c r="X52" s="394" t="s">
        <v>28</v>
      </c>
      <c r="Y52" s="237" t="s">
        <v>28</v>
      </c>
      <c r="Z52" s="233" t="s">
        <v>28</v>
      </c>
      <c r="AA52" s="229" t="s">
        <v>157</v>
      </c>
      <c r="AB52" s="230">
        <v>123601412</v>
      </c>
      <c r="AC52" s="230" t="s">
        <v>19</v>
      </c>
      <c r="AD52" s="232">
        <v>1.07727758063131</v>
      </c>
      <c r="AE52" s="232">
        <v>1.28439E-2</v>
      </c>
      <c r="AF52" s="234">
        <v>6.8103300000000004E-9</v>
      </c>
      <c r="AG52" s="235">
        <v>30</v>
      </c>
      <c r="AH52" s="236" t="s">
        <v>158</v>
      </c>
      <c r="AI52" s="237">
        <v>6.5508603999999998E-2</v>
      </c>
      <c r="AJ52" s="238" t="s">
        <v>28</v>
      </c>
      <c r="AK52" s="239" t="s">
        <v>28</v>
      </c>
    </row>
    <row r="53" spans="2:37" ht="17" x14ac:dyDescent="0.2">
      <c r="B53" s="194">
        <v>32</v>
      </c>
      <c r="C53" s="195">
        <v>5</v>
      </c>
      <c r="D53" s="195" t="s">
        <v>2692</v>
      </c>
      <c r="E53" s="196" t="s">
        <v>1595</v>
      </c>
      <c r="F53" s="194" t="s">
        <v>159</v>
      </c>
      <c r="G53" s="195">
        <v>35846815</v>
      </c>
      <c r="H53" s="195" t="s">
        <v>19</v>
      </c>
      <c r="I53" s="195" t="s">
        <v>25</v>
      </c>
      <c r="J53" s="195" t="s">
        <v>160</v>
      </c>
      <c r="K53" s="197">
        <v>0.94866456916741104</v>
      </c>
      <c r="L53" s="197">
        <v>9.5999999999999992E-3</v>
      </c>
      <c r="M53" s="217">
        <v>4.6609999999999998E-8</v>
      </c>
      <c r="N53" s="391">
        <v>0</v>
      </c>
      <c r="O53" s="201">
        <v>0.50119999999999998</v>
      </c>
      <c r="P53" s="194" t="s">
        <v>22</v>
      </c>
      <c r="Q53" s="195" t="s">
        <v>23</v>
      </c>
      <c r="R53" s="195" t="s">
        <v>23</v>
      </c>
      <c r="S53" s="195" t="s">
        <v>23</v>
      </c>
      <c r="T53" s="195" t="s">
        <v>23</v>
      </c>
      <c r="U53" s="197" t="s">
        <v>23</v>
      </c>
      <c r="V53" s="197" t="s">
        <v>23</v>
      </c>
      <c r="W53" s="217" t="s">
        <v>23</v>
      </c>
      <c r="X53" s="391" t="s">
        <v>23</v>
      </c>
      <c r="Y53" s="201" t="s">
        <v>23</v>
      </c>
      <c r="Z53" s="199">
        <v>1</v>
      </c>
      <c r="AA53" s="194" t="s">
        <v>159</v>
      </c>
      <c r="AB53" s="195">
        <v>35846815</v>
      </c>
      <c r="AC53" s="195" t="s">
        <v>19</v>
      </c>
      <c r="AD53" s="197">
        <v>0.94866456916741104</v>
      </c>
      <c r="AE53" s="197">
        <v>9.6013000000000001E-3</v>
      </c>
      <c r="AF53" s="198">
        <v>4.0458200000000002E-8</v>
      </c>
      <c r="AG53" s="200">
        <v>36</v>
      </c>
      <c r="AH53" s="217" t="s">
        <v>161</v>
      </c>
      <c r="AI53" s="201">
        <v>0.14147624</v>
      </c>
      <c r="AJ53" s="202" t="s">
        <v>38</v>
      </c>
      <c r="AK53" s="203" t="s">
        <v>28</v>
      </c>
    </row>
    <row r="54" spans="2:37" ht="17" x14ac:dyDescent="0.2">
      <c r="B54" s="130">
        <v>33</v>
      </c>
      <c r="C54" s="131">
        <v>5</v>
      </c>
      <c r="D54" s="131" t="s">
        <v>2693</v>
      </c>
      <c r="E54" s="132" t="s">
        <v>1883</v>
      </c>
      <c r="F54" s="130" t="s">
        <v>162</v>
      </c>
      <c r="G54" s="131">
        <v>40415067</v>
      </c>
      <c r="H54" s="131" t="s">
        <v>19</v>
      </c>
      <c r="I54" s="131" t="s">
        <v>20</v>
      </c>
      <c r="J54" s="131" t="s">
        <v>163</v>
      </c>
      <c r="K54" s="204">
        <v>1.0532704102058199</v>
      </c>
      <c r="L54" s="204">
        <v>9.2999999999999992E-3</v>
      </c>
      <c r="M54" s="207">
        <v>2.4739999999999999E-8</v>
      </c>
      <c r="N54" s="392">
        <v>40.700000000000003</v>
      </c>
      <c r="O54" s="208">
        <v>3.789E-2</v>
      </c>
      <c r="P54" s="130" t="s">
        <v>22</v>
      </c>
      <c r="Q54" s="131" t="s">
        <v>23</v>
      </c>
      <c r="R54" s="131" t="s">
        <v>23</v>
      </c>
      <c r="S54" s="131" t="s">
        <v>23</v>
      </c>
      <c r="T54" s="131" t="s">
        <v>23</v>
      </c>
      <c r="U54" s="204" t="s">
        <v>23</v>
      </c>
      <c r="V54" s="204" t="s">
        <v>23</v>
      </c>
      <c r="W54" s="207" t="s">
        <v>23</v>
      </c>
      <c r="X54" s="392" t="s">
        <v>23</v>
      </c>
      <c r="Y54" s="208" t="s">
        <v>23</v>
      </c>
      <c r="Z54" s="205">
        <v>1</v>
      </c>
      <c r="AA54" s="130" t="s">
        <v>164</v>
      </c>
      <c r="AB54" s="131">
        <v>40385134</v>
      </c>
      <c r="AC54" s="131" t="s">
        <v>19</v>
      </c>
      <c r="AD54" s="204">
        <v>1.0533757425133601</v>
      </c>
      <c r="AE54" s="204">
        <v>9.30134E-3</v>
      </c>
      <c r="AF54" s="133">
        <v>2.2629500000000001E-8</v>
      </c>
      <c r="AG54" s="206">
        <v>46</v>
      </c>
      <c r="AH54" s="207" t="s">
        <v>165</v>
      </c>
      <c r="AI54" s="208">
        <v>3.0457062999999999E-2</v>
      </c>
      <c r="AJ54" s="209" t="s">
        <v>166</v>
      </c>
      <c r="AK54" s="210" t="s">
        <v>28</v>
      </c>
    </row>
    <row r="55" spans="2:37" ht="17" x14ac:dyDescent="0.2">
      <c r="B55" s="194">
        <v>34</v>
      </c>
      <c r="C55" s="195">
        <v>5</v>
      </c>
      <c r="D55" s="195" t="s">
        <v>2694</v>
      </c>
      <c r="E55" s="196" t="s">
        <v>1884</v>
      </c>
      <c r="F55" s="194" t="s">
        <v>167</v>
      </c>
      <c r="G55" s="195">
        <v>56058487</v>
      </c>
      <c r="H55" s="195" t="s">
        <v>40</v>
      </c>
      <c r="I55" s="195" t="s">
        <v>25</v>
      </c>
      <c r="J55" s="195" t="s">
        <v>168</v>
      </c>
      <c r="K55" s="197">
        <v>0.90592387468121505</v>
      </c>
      <c r="L55" s="197">
        <v>1.4500000000000001E-2</v>
      </c>
      <c r="M55" s="217">
        <v>9.0809999999999998E-12</v>
      </c>
      <c r="N55" s="391">
        <v>0</v>
      </c>
      <c r="O55" s="201">
        <v>0.94199999999999995</v>
      </c>
      <c r="P55" s="194" t="s">
        <v>22</v>
      </c>
      <c r="Q55" s="195" t="s">
        <v>23</v>
      </c>
      <c r="R55" s="195" t="s">
        <v>23</v>
      </c>
      <c r="S55" s="195" t="s">
        <v>23</v>
      </c>
      <c r="T55" s="195" t="s">
        <v>23</v>
      </c>
      <c r="U55" s="197" t="s">
        <v>23</v>
      </c>
      <c r="V55" s="197" t="s">
        <v>23</v>
      </c>
      <c r="W55" s="217" t="s">
        <v>23</v>
      </c>
      <c r="X55" s="391" t="s">
        <v>23</v>
      </c>
      <c r="Y55" s="201" t="s">
        <v>23</v>
      </c>
      <c r="Z55" s="199">
        <v>1</v>
      </c>
      <c r="AA55" s="194" t="s">
        <v>167</v>
      </c>
      <c r="AB55" s="195">
        <v>56058487</v>
      </c>
      <c r="AC55" s="195" t="s">
        <v>25</v>
      </c>
      <c r="AD55" s="197">
        <v>1.1038455083788199</v>
      </c>
      <c r="AE55" s="197">
        <v>1.4503E-2</v>
      </c>
      <c r="AF55" s="198">
        <v>9.5982500000000006E-12</v>
      </c>
      <c r="AG55" s="200">
        <v>65</v>
      </c>
      <c r="AH55" s="217" t="s">
        <v>169</v>
      </c>
      <c r="AI55" s="201">
        <v>7.4986592000000005E-2</v>
      </c>
      <c r="AJ55" s="202" t="s">
        <v>38</v>
      </c>
      <c r="AK55" s="203" t="s">
        <v>28</v>
      </c>
    </row>
    <row r="56" spans="2:37" ht="17" x14ac:dyDescent="0.2">
      <c r="B56" s="86">
        <v>35</v>
      </c>
      <c r="C56" s="87">
        <v>5</v>
      </c>
      <c r="D56" s="87" t="s">
        <v>2695</v>
      </c>
      <c r="E56" s="89" t="s">
        <v>1599</v>
      </c>
      <c r="F56" s="86" t="s">
        <v>170</v>
      </c>
      <c r="G56" s="87">
        <v>96120310</v>
      </c>
      <c r="H56" s="87" t="s">
        <v>40</v>
      </c>
      <c r="I56" s="87" t="s">
        <v>171</v>
      </c>
      <c r="J56" s="87" t="s">
        <v>172</v>
      </c>
      <c r="K56" s="88">
        <v>1.1140477453864699</v>
      </c>
      <c r="L56" s="88">
        <v>1.09E-2</v>
      </c>
      <c r="M56" s="184">
        <v>5.9259999999999996E-23</v>
      </c>
      <c r="N56" s="90">
        <v>51.2</v>
      </c>
      <c r="O56" s="185">
        <v>7.8399999999999997E-3</v>
      </c>
      <c r="P56" s="86" t="s">
        <v>173</v>
      </c>
      <c r="Q56" s="87">
        <v>96120259</v>
      </c>
      <c r="R56" s="87" t="s">
        <v>19</v>
      </c>
      <c r="S56" s="87" t="s">
        <v>20</v>
      </c>
      <c r="T56" s="87" t="s">
        <v>174</v>
      </c>
      <c r="U56" s="88">
        <v>0.90773753548683001</v>
      </c>
      <c r="V56" s="88">
        <v>0.01</v>
      </c>
      <c r="W56" s="184">
        <v>5.2050000000000003E-22</v>
      </c>
      <c r="X56" s="90">
        <v>56.6</v>
      </c>
      <c r="Y56" s="185">
        <v>1.691E-3</v>
      </c>
      <c r="Z56" s="182">
        <v>2</v>
      </c>
      <c r="AA56" s="86" t="s">
        <v>173</v>
      </c>
      <c r="AB56" s="87">
        <v>96120259</v>
      </c>
      <c r="AC56" s="87" t="s">
        <v>19</v>
      </c>
      <c r="AD56" s="88">
        <v>0.88202048290209101</v>
      </c>
      <c r="AE56" s="88">
        <v>1.0673800000000001E-2</v>
      </c>
      <c r="AF56" s="127">
        <v>6.1590700000000004E-32</v>
      </c>
      <c r="AG56" s="183">
        <v>6</v>
      </c>
      <c r="AH56" s="184" t="s">
        <v>175</v>
      </c>
      <c r="AI56" s="185">
        <v>0.210801711</v>
      </c>
      <c r="AJ56" s="186" t="s">
        <v>176</v>
      </c>
      <c r="AK56" s="187" t="s">
        <v>28</v>
      </c>
    </row>
    <row r="57" spans="2:37" ht="17" x14ac:dyDescent="0.2">
      <c r="B57" s="75" t="s">
        <v>28</v>
      </c>
      <c r="C57" s="77" t="s">
        <v>28</v>
      </c>
      <c r="D57" s="77" t="s">
        <v>28</v>
      </c>
      <c r="E57" s="79" t="s">
        <v>28</v>
      </c>
      <c r="F57" s="75" t="s">
        <v>28</v>
      </c>
      <c r="G57" s="77" t="s">
        <v>28</v>
      </c>
      <c r="H57" s="77" t="s">
        <v>28</v>
      </c>
      <c r="I57" s="77" t="s">
        <v>28</v>
      </c>
      <c r="J57" s="77" t="s">
        <v>28</v>
      </c>
      <c r="K57" s="178" t="s">
        <v>28</v>
      </c>
      <c r="L57" s="178" t="s">
        <v>28</v>
      </c>
      <c r="M57" s="190" t="s">
        <v>28</v>
      </c>
      <c r="N57" s="114" t="s">
        <v>28</v>
      </c>
      <c r="O57" s="191" t="s">
        <v>28</v>
      </c>
      <c r="P57" s="75" t="s">
        <v>28</v>
      </c>
      <c r="Q57" s="77" t="s">
        <v>28</v>
      </c>
      <c r="R57" s="77" t="s">
        <v>28</v>
      </c>
      <c r="S57" s="77" t="s">
        <v>28</v>
      </c>
      <c r="T57" s="77" t="s">
        <v>28</v>
      </c>
      <c r="U57" s="178" t="s">
        <v>28</v>
      </c>
      <c r="V57" s="178" t="s">
        <v>28</v>
      </c>
      <c r="W57" s="190" t="s">
        <v>28</v>
      </c>
      <c r="X57" s="114" t="s">
        <v>28</v>
      </c>
      <c r="Y57" s="191" t="s">
        <v>28</v>
      </c>
      <c r="Z57" s="188" t="s">
        <v>28</v>
      </c>
      <c r="AA57" s="75" t="s">
        <v>177</v>
      </c>
      <c r="AB57" s="77">
        <v>96229750</v>
      </c>
      <c r="AC57" s="77" t="s">
        <v>19</v>
      </c>
      <c r="AD57" s="178">
        <v>0.92773884762271797</v>
      </c>
      <c r="AE57" s="178">
        <v>9.7095199999999993E-3</v>
      </c>
      <c r="AF57" s="129">
        <v>1.11945E-14</v>
      </c>
      <c r="AG57" s="189">
        <v>176</v>
      </c>
      <c r="AH57" s="190" t="s">
        <v>178</v>
      </c>
      <c r="AI57" s="191">
        <v>1.8892653999999998E-2</v>
      </c>
      <c r="AJ57" s="192" t="s">
        <v>28</v>
      </c>
      <c r="AK57" s="193" t="s">
        <v>28</v>
      </c>
    </row>
    <row r="58" spans="2:37" ht="17" x14ac:dyDescent="0.2">
      <c r="B58" s="86">
        <v>36</v>
      </c>
      <c r="C58" s="87">
        <v>5</v>
      </c>
      <c r="D58" s="87" t="s">
        <v>2696</v>
      </c>
      <c r="E58" s="89" t="s">
        <v>1608</v>
      </c>
      <c r="F58" s="86" t="s">
        <v>179</v>
      </c>
      <c r="G58" s="87">
        <v>131996500</v>
      </c>
      <c r="H58" s="87" t="s">
        <v>40</v>
      </c>
      <c r="I58" s="87" t="s">
        <v>20</v>
      </c>
      <c r="J58" s="87" t="s">
        <v>59</v>
      </c>
      <c r="K58" s="88">
        <v>0.85384978196848205</v>
      </c>
      <c r="L58" s="88">
        <v>1.14E-2</v>
      </c>
      <c r="M58" s="184">
        <v>1.207E-43</v>
      </c>
      <c r="N58" s="90">
        <v>45.2</v>
      </c>
      <c r="O58" s="185">
        <v>1.9900000000000001E-2</v>
      </c>
      <c r="P58" s="86" t="s">
        <v>22</v>
      </c>
      <c r="Q58" s="87" t="s">
        <v>23</v>
      </c>
      <c r="R58" s="87" t="s">
        <v>23</v>
      </c>
      <c r="S58" s="87" t="s">
        <v>23</v>
      </c>
      <c r="T58" s="87" t="s">
        <v>23</v>
      </c>
      <c r="U58" s="88" t="s">
        <v>23</v>
      </c>
      <c r="V58" s="88" t="s">
        <v>23</v>
      </c>
      <c r="W58" s="184" t="s">
        <v>23</v>
      </c>
      <c r="X58" s="90" t="s">
        <v>23</v>
      </c>
      <c r="Y58" s="185" t="s">
        <v>23</v>
      </c>
      <c r="Z58" s="182">
        <v>2</v>
      </c>
      <c r="AA58" s="86" t="s">
        <v>179</v>
      </c>
      <c r="AB58" s="87">
        <v>131996500</v>
      </c>
      <c r="AC58" s="87" t="s">
        <v>20</v>
      </c>
      <c r="AD58" s="88">
        <v>1.1663847409374499</v>
      </c>
      <c r="AE58" s="88">
        <v>1.1432599999999999E-2</v>
      </c>
      <c r="AF58" s="127">
        <v>2.6067E-41</v>
      </c>
      <c r="AG58" s="183">
        <v>4</v>
      </c>
      <c r="AH58" s="184" t="s">
        <v>180</v>
      </c>
      <c r="AI58" s="185">
        <v>0.346978707</v>
      </c>
      <c r="AJ58" s="186" t="s">
        <v>181</v>
      </c>
      <c r="AK58" s="187" t="s">
        <v>28</v>
      </c>
    </row>
    <row r="59" spans="2:37" ht="17" x14ac:dyDescent="0.2">
      <c r="B59" s="75" t="s">
        <v>28</v>
      </c>
      <c r="C59" s="77" t="s">
        <v>28</v>
      </c>
      <c r="D59" s="77" t="s">
        <v>28</v>
      </c>
      <c r="E59" s="79" t="s">
        <v>28</v>
      </c>
      <c r="F59" s="75" t="s">
        <v>28</v>
      </c>
      <c r="G59" s="77" t="s">
        <v>28</v>
      </c>
      <c r="H59" s="77" t="s">
        <v>28</v>
      </c>
      <c r="I59" s="77" t="s">
        <v>28</v>
      </c>
      <c r="J59" s="77" t="s">
        <v>28</v>
      </c>
      <c r="K59" s="178" t="s">
        <v>28</v>
      </c>
      <c r="L59" s="178" t="s">
        <v>28</v>
      </c>
      <c r="M59" s="190" t="s">
        <v>28</v>
      </c>
      <c r="N59" s="114" t="s">
        <v>28</v>
      </c>
      <c r="O59" s="191" t="s">
        <v>28</v>
      </c>
      <c r="P59" s="75" t="s">
        <v>28</v>
      </c>
      <c r="Q59" s="77" t="s">
        <v>28</v>
      </c>
      <c r="R59" s="77" t="s">
        <v>28</v>
      </c>
      <c r="S59" s="77" t="s">
        <v>28</v>
      </c>
      <c r="T59" s="77" t="s">
        <v>28</v>
      </c>
      <c r="U59" s="178" t="s">
        <v>28</v>
      </c>
      <c r="V59" s="178" t="s">
        <v>28</v>
      </c>
      <c r="W59" s="190" t="s">
        <v>28</v>
      </c>
      <c r="X59" s="114" t="s">
        <v>28</v>
      </c>
      <c r="Y59" s="191" t="s">
        <v>28</v>
      </c>
      <c r="Z59" s="188" t="s">
        <v>28</v>
      </c>
      <c r="AA59" s="75" t="s">
        <v>182</v>
      </c>
      <c r="AB59" s="77">
        <v>130164018</v>
      </c>
      <c r="AC59" s="77" t="s">
        <v>20</v>
      </c>
      <c r="AD59" s="178">
        <v>0.94256169774885801</v>
      </c>
      <c r="AE59" s="178">
        <v>1.0422799999999999E-2</v>
      </c>
      <c r="AF59" s="129">
        <v>1.38336E-8</v>
      </c>
      <c r="AG59" s="189">
        <v>196</v>
      </c>
      <c r="AH59" s="190" t="s">
        <v>183</v>
      </c>
      <c r="AI59" s="191">
        <v>7.8693871999999998E-2</v>
      </c>
      <c r="AJ59" s="192" t="s">
        <v>28</v>
      </c>
      <c r="AK59" s="193" t="s">
        <v>28</v>
      </c>
    </row>
    <row r="60" spans="2:37" ht="17" x14ac:dyDescent="0.2">
      <c r="B60" s="130">
        <v>37</v>
      </c>
      <c r="C60" s="131">
        <v>5</v>
      </c>
      <c r="D60" s="131" t="s">
        <v>2697</v>
      </c>
      <c r="E60" s="132" t="s">
        <v>1885</v>
      </c>
      <c r="F60" s="130" t="s">
        <v>184</v>
      </c>
      <c r="G60" s="131">
        <v>150466690</v>
      </c>
      <c r="H60" s="131" t="s">
        <v>25</v>
      </c>
      <c r="I60" s="131" t="s">
        <v>185</v>
      </c>
      <c r="J60" s="131" t="s">
        <v>51</v>
      </c>
      <c r="K60" s="204">
        <v>1.4244702639358</v>
      </c>
      <c r="L60" s="204">
        <v>1.8100000000000002E-2</v>
      </c>
      <c r="M60" s="207">
        <v>7.7709999999999997E-85</v>
      </c>
      <c r="N60" s="392">
        <v>60.4</v>
      </c>
      <c r="O60" s="396">
        <v>4.8720000000000002E-4</v>
      </c>
      <c r="P60" s="130" t="s">
        <v>22</v>
      </c>
      <c r="Q60" s="131" t="s">
        <v>23</v>
      </c>
      <c r="R60" s="131" t="s">
        <v>23</v>
      </c>
      <c r="S60" s="131" t="s">
        <v>23</v>
      </c>
      <c r="T60" s="131" t="s">
        <v>23</v>
      </c>
      <c r="U60" s="204" t="s">
        <v>23</v>
      </c>
      <c r="V60" s="204" t="s">
        <v>23</v>
      </c>
      <c r="W60" s="207" t="s">
        <v>23</v>
      </c>
      <c r="X60" s="392" t="s">
        <v>23</v>
      </c>
      <c r="Y60" s="208" t="s">
        <v>23</v>
      </c>
      <c r="Z60" s="205">
        <v>1</v>
      </c>
      <c r="AA60" s="130" t="s">
        <v>184</v>
      </c>
      <c r="AB60" s="131">
        <v>150466690</v>
      </c>
      <c r="AC60" s="131" t="s">
        <v>25</v>
      </c>
      <c r="AD60" s="204">
        <v>1.4244702639358</v>
      </c>
      <c r="AE60" s="204">
        <v>1.81335E-2</v>
      </c>
      <c r="AF60" s="133">
        <v>8.8885900000000002E-85</v>
      </c>
      <c r="AG60" s="206">
        <v>3</v>
      </c>
      <c r="AH60" s="207" t="s">
        <v>186</v>
      </c>
      <c r="AI60" s="208">
        <v>0.85815712799999999</v>
      </c>
      <c r="AJ60" s="209" t="s">
        <v>187</v>
      </c>
      <c r="AK60" s="210" t="s">
        <v>28</v>
      </c>
    </row>
    <row r="61" spans="2:37" ht="17" x14ac:dyDescent="0.2">
      <c r="B61" s="86">
        <v>38</v>
      </c>
      <c r="C61" s="87">
        <v>5</v>
      </c>
      <c r="D61" s="87" t="s">
        <v>2698</v>
      </c>
      <c r="E61" s="89" t="s">
        <v>1819</v>
      </c>
      <c r="F61" s="86" t="s">
        <v>188</v>
      </c>
      <c r="G61" s="87">
        <v>158826493</v>
      </c>
      <c r="H61" s="87" t="s">
        <v>40</v>
      </c>
      <c r="I61" s="87" t="s">
        <v>25</v>
      </c>
      <c r="J61" s="87" t="s">
        <v>189</v>
      </c>
      <c r="K61" s="88">
        <v>1.3460844894260899</v>
      </c>
      <c r="L61" s="88">
        <v>1.06E-2</v>
      </c>
      <c r="M61" s="184">
        <v>8.54E-172</v>
      </c>
      <c r="N61" s="90">
        <v>78.8</v>
      </c>
      <c r="O61" s="395">
        <v>3.5909999999999998E-10</v>
      </c>
      <c r="P61" s="86" t="s">
        <v>22</v>
      </c>
      <c r="Q61" s="87" t="s">
        <v>23</v>
      </c>
      <c r="R61" s="87" t="s">
        <v>23</v>
      </c>
      <c r="S61" s="87" t="s">
        <v>23</v>
      </c>
      <c r="T61" s="87" t="s">
        <v>23</v>
      </c>
      <c r="U61" s="88" t="s">
        <v>23</v>
      </c>
      <c r="V61" s="88" t="s">
        <v>23</v>
      </c>
      <c r="W61" s="184" t="s">
        <v>23</v>
      </c>
      <c r="X61" s="90" t="s">
        <v>23</v>
      </c>
      <c r="Y61" s="185" t="s">
        <v>23</v>
      </c>
      <c r="Z61" s="182">
        <v>7</v>
      </c>
      <c r="AA61" s="86" t="s">
        <v>188</v>
      </c>
      <c r="AB61" s="87">
        <v>158826493</v>
      </c>
      <c r="AC61" s="87" t="s">
        <v>25</v>
      </c>
      <c r="AD61" s="88">
        <v>0.79580348639892895</v>
      </c>
      <c r="AE61" s="88">
        <v>1.2888800000000001E-2</v>
      </c>
      <c r="AF61" s="127">
        <v>2.8846600000000001E-70</v>
      </c>
      <c r="AG61" s="183">
        <v>1</v>
      </c>
      <c r="AH61" s="184" t="s">
        <v>190</v>
      </c>
      <c r="AI61" s="185">
        <v>0.97253689399999999</v>
      </c>
      <c r="AJ61" s="186" t="s">
        <v>191</v>
      </c>
      <c r="AK61" s="187" t="s">
        <v>28</v>
      </c>
    </row>
    <row r="62" spans="2:37" ht="17" x14ac:dyDescent="0.2">
      <c r="B62" s="66" t="s">
        <v>28</v>
      </c>
      <c r="C62" s="67" t="s">
        <v>28</v>
      </c>
      <c r="D62" s="67" t="s">
        <v>28</v>
      </c>
      <c r="E62" s="69" t="s">
        <v>28</v>
      </c>
      <c r="F62" s="66" t="s">
        <v>28</v>
      </c>
      <c r="G62" s="67" t="s">
        <v>28</v>
      </c>
      <c r="H62" s="67" t="s">
        <v>28</v>
      </c>
      <c r="I62" s="67" t="s">
        <v>28</v>
      </c>
      <c r="J62" s="67" t="s">
        <v>28</v>
      </c>
      <c r="K62" s="68" t="s">
        <v>28</v>
      </c>
      <c r="L62" s="68" t="s">
        <v>28</v>
      </c>
      <c r="M62" s="213" t="s">
        <v>28</v>
      </c>
      <c r="N62" s="80" t="s">
        <v>28</v>
      </c>
      <c r="O62" s="69" t="s">
        <v>28</v>
      </c>
      <c r="P62" s="66" t="s">
        <v>28</v>
      </c>
      <c r="Q62" s="67" t="s">
        <v>28</v>
      </c>
      <c r="R62" s="67" t="s">
        <v>28</v>
      </c>
      <c r="S62" s="67" t="s">
        <v>28</v>
      </c>
      <c r="T62" s="67" t="s">
        <v>28</v>
      </c>
      <c r="U62" s="68" t="s">
        <v>28</v>
      </c>
      <c r="V62" s="68" t="s">
        <v>28</v>
      </c>
      <c r="W62" s="213" t="s">
        <v>28</v>
      </c>
      <c r="X62" s="80" t="s">
        <v>28</v>
      </c>
      <c r="Y62" s="214" t="s">
        <v>28</v>
      </c>
      <c r="Z62" s="211" t="s">
        <v>28</v>
      </c>
      <c r="AA62" s="66" t="s">
        <v>192</v>
      </c>
      <c r="AB62" s="67">
        <v>158766022</v>
      </c>
      <c r="AC62" s="67" t="s">
        <v>40</v>
      </c>
      <c r="AD62" s="68">
        <v>0.83788199989171597</v>
      </c>
      <c r="AE62" s="68">
        <v>1.06199E-2</v>
      </c>
      <c r="AF62" s="128">
        <v>2.7650900000000001E-62</v>
      </c>
      <c r="AG62" s="212">
        <v>12</v>
      </c>
      <c r="AH62" s="213" t="s">
        <v>193</v>
      </c>
      <c r="AI62" s="214">
        <v>0.27647536900000003</v>
      </c>
      <c r="AJ62" s="215" t="s">
        <v>28</v>
      </c>
      <c r="AK62" s="216" t="s">
        <v>28</v>
      </c>
    </row>
    <row r="63" spans="2:37" ht="17" x14ac:dyDescent="0.2">
      <c r="B63" s="66" t="s">
        <v>28</v>
      </c>
      <c r="C63" s="67" t="s">
        <v>28</v>
      </c>
      <c r="D63" s="67" t="s">
        <v>28</v>
      </c>
      <c r="E63" s="69" t="s">
        <v>28</v>
      </c>
      <c r="F63" s="66" t="s">
        <v>28</v>
      </c>
      <c r="G63" s="67" t="s">
        <v>28</v>
      </c>
      <c r="H63" s="67" t="s">
        <v>28</v>
      </c>
      <c r="I63" s="67" t="s">
        <v>28</v>
      </c>
      <c r="J63" s="67" t="s">
        <v>28</v>
      </c>
      <c r="K63" s="68" t="s">
        <v>28</v>
      </c>
      <c r="L63" s="68" t="s">
        <v>28</v>
      </c>
      <c r="M63" s="213" t="s">
        <v>28</v>
      </c>
      <c r="N63" s="80" t="s">
        <v>28</v>
      </c>
      <c r="O63" s="69" t="s">
        <v>28</v>
      </c>
      <c r="P63" s="66" t="s">
        <v>28</v>
      </c>
      <c r="Q63" s="67" t="s">
        <v>28</v>
      </c>
      <c r="R63" s="67" t="s">
        <v>28</v>
      </c>
      <c r="S63" s="67" t="s">
        <v>28</v>
      </c>
      <c r="T63" s="67" t="s">
        <v>28</v>
      </c>
      <c r="U63" s="68" t="s">
        <v>28</v>
      </c>
      <c r="V63" s="68" t="s">
        <v>28</v>
      </c>
      <c r="W63" s="213" t="s">
        <v>28</v>
      </c>
      <c r="X63" s="80" t="s">
        <v>28</v>
      </c>
      <c r="Y63" s="214" t="s">
        <v>28</v>
      </c>
      <c r="Z63" s="211" t="s">
        <v>28</v>
      </c>
      <c r="AA63" s="66" t="s">
        <v>194</v>
      </c>
      <c r="AB63" s="67">
        <v>158614087</v>
      </c>
      <c r="AC63" s="67" t="s">
        <v>20</v>
      </c>
      <c r="AD63" s="68">
        <v>0.86361000084081296</v>
      </c>
      <c r="AE63" s="68">
        <v>1.2838199999999999E-2</v>
      </c>
      <c r="AF63" s="128">
        <v>3.25963E-30</v>
      </c>
      <c r="AG63" s="212">
        <v>1</v>
      </c>
      <c r="AH63" s="213" t="s">
        <v>195</v>
      </c>
      <c r="AI63" s="214">
        <v>0.99996698500000003</v>
      </c>
      <c r="AJ63" s="215" t="s">
        <v>28</v>
      </c>
      <c r="AK63" s="216" t="s">
        <v>28</v>
      </c>
    </row>
    <row r="64" spans="2:37" ht="17" x14ac:dyDescent="0.2">
      <c r="B64" s="66" t="s">
        <v>28</v>
      </c>
      <c r="C64" s="67" t="s">
        <v>28</v>
      </c>
      <c r="D64" s="67" t="s">
        <v>28</v>
      </c>
      <c r="E64" s="69" t="s">
        <v>28</v>
      </c>
      <c r="F64" s="66" t="s">
        <v>28</v>
      </c>
      <c r="G64" s="67" t="s">
        <v>28</v>
      </c>
      <c r="H64" s="67" t="s">
        <v>28</v>
      </c>
      <c r="I64" s="67" t="s">
        <v>28</v>
      </c>
      <c r="J64" s="67" t="s">
        <v>28</v>
      </c>
      <c r="K64" s="68" t="s">
        <v>28</v>
      </c>
      <c r="L64" s="68" t="s">
        <v>28</v>
      </c>
      <c r="M64" s="213" t="s">
        <v>28</v>
      </c>
      <c r="N64" s="80" t="s">
        <v>28</v>
      </c>
      <c r="O64" s="69" t="s">
        <v>28</v>
      </c>
      <c r="P64" s="66" t="s">
        <v>28</v>
      </c>
      <c r="Q64" s="67" t="s">
        <v>28</v>
      </c>
      <c r="R64" s="67" t="s">
        <v>28</v>
      </c>
      <c r="S64" s="67" t="s">
        <v>28</v>
      </c>
      <c r="T64" s="67" t="s">
        <v>28</v>
      </c>
      <c r="U64" s="68" t="s">
        <v>28</v>
      </c>
      <c r="V64" s="68" t="s">
        <v>28</v>
      </c>
      <c r="W64" s="213" t="s">
        <v>28</v>
      </c>
      <c r="X64" s="80" t="s">
        <v>28</v>
      </c>
      <c r="Y64" s="214" t="s">
        <v>28</v>
      </c>
      <c r="Z64" s="211" t="s">
        <v>28</v>
      </c>
      <c r="AA64" s="66" t="s">
        <v>196</v>
      </c>
      <c r="AB64" s="67">
        <v>158857873</v>
      </c>
      <c r="AC64" s="67" t="s">
        <v>40</v>
      </c>
      <c r="AD64" s="68">
        <v>1.2689451946822701</v>
      </c>
      <c r="AE64" s="68">
        <v>2.17252E-2</v>
      </c>
      <c r="AF64" s="128">
        <v>5.7205699999999997E-28</v>
      </c>
      <c r="AG64" s="212">
        <v>2</v>
      </c>
      <c r="AH64" s="213" t="s">
        <v>197</v>
      </c>
      <c r="AI64" s="214">
        <v>0.90328556000000004</v>
      </c>
      <c r="AJ64" s="215" t="s">
        <v>28</v>
      </c>
      <c r="AK64" s="216" t="s">
        <v>28</v>
      </c>
    </row>
    <row r="65" spans="2:37" ht="17" x14ac:dyDescent="0.2">
      <c r="B65" s="66" t="s">
        <v>28</v>
      </c>
      <c r="C65" s="67" t="s">
        <v>28</v>
      </c>
      <c r="D65" s="67" t="s">
        <v>28</v>
      </c>
      <c r="E65" s="69" t="s">
        <v>28</v>
      </c>
      <c r="F65" s="66" t="s">
        <v>28</v>
      </c>
      <c r="G65" s="67" t="s">
        <v>28</v>
      </c>
      <c r="H65" s="67" t="s">
        <v>28</v>
      </c>
      <c r="I65" s="67" t="s">
        <v>28</v>
      </c>
      <c r="J65" s="67" t="s">
        <v>28</v>
      </c>
      <c r="K65" s="68" t="s">
        <v>28</v>
      </c>
      <c r="L65" s="68" t="s">
        <v>28</v>
      </c>
      <c r="M65" s="213" t="s">
        <v>28</v>
      </c>
      <c r="N65" s="80" t="s">
        <v>28</v>
      </c>
      <c r="O65" s="69" t="s">
        <v>28</v>
      </c>
      <c r="P65" s="66" t="s">
        <v>28</v>
      </c>
      <c r="Q65" s="67" t="s">
        <v>28</v>
      </c>
      <c r="R65" s="67" t="s">
        <v>28</v>
      </c>
      <c r="S65" s="67" t="s">
        <v>28</v>
      </c>
      <c r="T65" s="67" t="s">
        <v>28</v>
      </c>
      <c r="U65" s="68" t="s">
        <v>28</v>
      </c>
      <c r="V65" s="68" t="s">
        <v>28</v>
      </c>
      <c r="W65" s="213" t="s">
        <v>28</v>
      </c>
      <c r="X65" s="80" t="s">
        <v>28</v>
      </c>
      <c r="Y65" s="214" t="s">
        <v>28</v>
      </c>
      <c r="Z65" s="211" t="s">
        <v>28</v>
      </c>
      <c r="AA65" s="66" t="s">
        <v>198</v>
      </c>
      <c r="AB65" s="67">
        <v>158823994</v>
      </c>
      <c r="AC65" s="67" t="s">
        <v>25</v>
      </c>
      <c r="AD65" s="68">
        <v>1.3585976118889</v>
      </c>
      <c r="AE65" s="68">
        <v>2.85895E-2</v>
      </c>
      <c r="AF65" s="128">
        <v>8.2820399999999999E-27</v>
      </c>
      <c r="AG65" s="212">
        <v>2</v>
      </c>
      <c r="AH65" s="213" t="s">
        <v>199</v>
      </c>
      <c r="AI65" s="214">
        <v>0.74952716699999999</v>
      </c>
      <c r="AJ65" s="215" t="s">
        <v>28</v>
      </c>
      <c r="AK65" s="216" t="s">
        <v>28</v>
      </c>
    </row>
    <row r="66" spans="2:37" ht="17" x14ac:dyDescent="0.2">
      <c r="B66" s="66" t="s">
        <v>28</v>
      </c>
      <c r="C66" s="67" t="s">
        <v>28</v>
      </c>
      <c r="D66" s="67" t="s">
        <v>28</v>
      </c>
      <c r="E66" s="69" t="s">
        <v>28</v>
      </c>
      <c r="F66" s="66" t="s">
        <v>28</v>
      </c>
      <c r="G66" s="67" t="s">
        <v>28</v>
      </c>
      <c r="H66" s="67" t="s">
        <v>28</v>
      </c>
      <c r="I66" s="67" t="s">
        <v>28</v>
      </c>
      <c r="J66" s="67" t="s">
        <v>28</v>
      </c>
      <c r="K66" s="68" t="s">
        <v>28</v>
      </c>
      <c r="L66" s="68" t="s">
        <v>28</v>
      </c>
      <c r="M66" s="213" t="s">
        <v>28</v>
      </c>
      <c r="N66" s="80" t="s">
        <v>28</v>
      </c>
      <c r="O66" s="69" t="s">
        <v>28</v>
      </c>
      <c r="P66" s="66" t="s">
        <v>28</v>
      </c>
      <c r="Q66" s="67" t="s">
        <v>28</v>
      </c>
      <c r="R66" s="67" t="s">
        <v>28</v>
      </c>
      <c r="S66" s="67" t="s">
        <v>28</v>
      </c>
      <c r="T66" s="67" t="s">
        <v>28</v>
      </c>
      <c r="U66" s="68" t="s">
        <v>28</v>
      </c>
      <c r="V66" s="68" t="s">
        <v>28</v>
      </c>
      <c r="W66" s="213" t="s">
        <v>28</v>
      </c>
      <c r="X66" s="80" t="s">
        <v>28</v>
      </c>
      <c r="Y66" s="214" t="s">
        <v>28</v>
      </c>
      <c r="Z66" s="211" t="s">
        <v>28</v>
      </c>
      <c r="AA66" s="66" t="s">
        <v>200</v>
      </c>
      <c r="AB66" s="67">
        <v>158625788</v>
      </c>
      <c r="AC66" s="67" t="s">
        <v>25</v>
      </c>
      <c r="AD66" s="68">
        <v>1.0955259855096999</v>
      </c>
      <c r="AE66" s="68">
        <v>1.1136500000000001E-2</v>
      </c>
      <c r="AF66" s="128">
        <v>2.5601700000000001E-16</v>
      </c>
      <c r="AG66" s="212">
        <v>6</v>
      </c>
      <c r="AH66" s="213" t="s">
        <v>201</v>
      </c>
      <c r="AI66" s="214">
        <v>0.59918562200000003</v>
      </c>
      <c r="AJ66" s="215" t="s">
        <v>28</v>
      </c>
      <c r="AK66" s="216" t="s">
        <v>28</v>
      </c>
    </row>
    <row r="67" spans="2:37" ht="17" x14ac:dyDescent="0.2">
      <c r="B67" s="75" t="s">
        <v>28</v>
      </c>
      <c r="C67" s="77" t="s">
        <v>28</v>
      </c>
      <c r="D67" s="77" t="s">
        <v>28</v>
      </c>
      <c r="E67" s="79" t="s">
        <v>28</v>
      </c>
      <c r="F67" s="75" t="s">
        <v>28</v>
      </c>
      <c r="G67" s="77" t="s">
        <v>28</v>
      </c>
      <c r="H67" s="77" t="s">
        <v>28</v>
      </c>
      <c r="I67" s="77" t="s">
        <v>28</v>
      </c>
      <c r="J67" s="77" t="s">
        <v>28</v>
      </c>
      <c r="K67" s="178" t="s">
        <v>28</v>
      </c>
      <c r="L67" s="178" t="s">
        <v>28</v>
      </c>
      <c r="M67" s="190" t="s">
        <v>28</v>
      </c>
      <c r="N67" s="114" t="s">
        <v>28</v>
      </c>
      <c r="O67" s="79" t="s">
        <v>28</v>
      </c>
      <c r="P67" s="75" t="s">
        <v>28</v>
      </c>
      <c r="Q67" s="77" t="s">
        <v>28</v>
      </c>
      <c r="R67" s="77" t="s">
        <v>28</v>
      </c>
      <c r="S67" s="77" t="s">
        <v>28</v>
      </c>
      <c r="T67" s="77" t="s">
        <v>28</v>
      </c>
      <c r="U67" s="178" t="s">
        <v>28</v>
      </c>
      <c r="V67" s="178" t="s">
        <v>28</v>
      </c>
      <c r="W67" s="190" t="s">
        <v>28</v>
      </c>
      <c r="X67" s="114" t="s">
        <v>28</v>
      </c>
      <c r="Y67" s="191" t="s">
        <v>28</v>
      </c>
      <c r="Z67" s="188" t="s">
        <v>28</v>
      </c>
      <c r="AA67" s="75" t="s">
        <v>202</v>
      </c>
      <c r="AB67" s="77">
        <v>158835261</v>
      </c>
      <c r="AC67" s="77" t="s">
        <v>25</v>
      </c>
      <c r="AD67" s="178">
        <v>0.921497237229428</v>
      </c>
      <c r="AE67" s="178">
        <v>1.0647800000000001E-2</v>
      </c>
      <c r="AF67" s="129">
        <v>1.6138600000000001E-14</v>
      </c>
      <c r="AG67" s="189">
        <v>13</v>
      </c>
      <c r="AH67" s="190" t="s">
        <v>203</v>
      </c>
      <c r="AI67" s="191">
        <v>0.408506704</v>
      </c>
      <c r="AJ67" s="192" t="s">
        <v>28</v>
      </c>
      <c r="AK67" s="193" t="s">
        <v>28</v>
      </c>
    </row>
    <row r="68" spans="2:37" ht="17" x14ac:dyDescent="0.2">
      <c r="B68" s="86">
        <v>39</v>
      </c>
      <c r="C68" s="87">
        <v>6</v>
      </c>
      <c r="D68" s="87" t="s">
        <v>2699</v>
      </c>
      <c r="E68" s="89" t="s">
        <v>1886</v>
      </c>
      <c r="F68" s="86" t="s">
        <v>204</v>
      </c>
      <c r="G68" s="87">
        <v>577820</v>
      </c>
      <c r="H68" s="87" t="s">
        <v>40</v>
      </c>
      <c r="I68" s="87" t="s">
        <v>25</v>
      </c>
      <c r="J68" s="87" t="s">
        <v>205</v>
      </c>
      <c r="K68" s="88">
        <v>1.0994389453467901</v>
      </c>
      <c r="L68" s="88">
        <v>9.4000000000000004E-3</v>
      </c>
      <c r="M68" s="184">
        <v>1.035E-23</v>
      </c>
      <c r="N68" s="90">
        <v>1.9</v>
      </c>
      <c r="O68" s="185">
        <v>0.43209999999999998</v>
      </c>
      <c r="P68" s="86" t="s">
        <v>22</v>
      </c>
      <c r="Q68" s="87" t="s">
        <v>23</v>
      </c>
      <c r="R68" s="87" t="s">
        <v>23</v>
      </c>
      <c r="S68" s="87" t="s">
        <v>23</v>
      </c>
      <c r="T68" s="87" t="s">
        <v>23</v>
      </c>
      <c r="U68" s="88" t="s">
        <v>23</v>
      </c>
      <c r="V68" s="88" t="s">
        <v>23</v>
      </c>
      <c r="W68" s="184" t="s">
        <v>23</v>
      </c>
      <c r="X68" s="90" t="s">
        <v>23</v>
      </c>
      <c r="Y68" s="185" t="s">
        <v>23</v>
      </c>
      <c r="Z68" s="182">
        <v>2</v>
      </c>
      <c r="AA68" s="86" t="s">
        <v>204</v>
      </c>
      <c r="AB68" s="87">
        <v>577820</v>
      </c>
      <c r="AC68" s="87" t="s">
        <v>25</v>
      </c>
      <c r="AD68" s="88">
        <v>0.90952344814354902</v>
      </c>
      <c r="AE68" s="88">
        <v>9.4047499999999999E-3</v>
      </c>
      <c r="AF68" s="127">
        <v>6.5229999999999997E-24</v>
      </c>
      <c r="AG68" s="183">
        <v>1</v>
      </c>
      <c r="AH68" s="184" t="s">
        <v>206</v>
      </c>
      <c r="AI68" s="185">
        <v>0.99180251200000002</v>
      </c>
      <c r="AJ68" s="186" t="s">
        <v>207</v>
      </c>
      <c r="AK68" s="187" t="s">
        <v>28</v>
      </c>
    </row>
    <row r="69" spans="2:37" ht="17" x14ac:dyDescent="0.2">
      <c r="B69" s="75" t="s">
        <v>28</v>
      </c>
      <c r="C69" s="77" t="s">
        <v>28</v>
      </c>
      <c r="D69" s="77" t="s">
        <v>28</v>
      </c>
      <c r="E69" s="79" t="s">
        <v>28</v>
      </c>
      <c r="F69" s="75" t="s">
        <v>28</v>
      </c>
      <c r="G69" s="77" t="s">
        <v>28</v>
      </c>
      <c r="H69" s="77" t="s">
        <v>28</v>
      </c>
      <c r="I69" s="77" t="s">
        <v>28</v>
      </c>
      <c r="J69" s="77" t="s">
        <v>28</v>
      </c>
      <c r="K69" s="178" t="s">
        <v>28</v>
      </c>
      <c r="L69" s="178" t="s">
        <v>28</v>
      </c>
      <c r="M69" s="190" t="s">
        <v>28</v>
      </c>
      <c r="N69" s="114" t="s">
        <v>28</v>
      </c>
      <c r="O69" s="191" t="s">
        <v>28</v>
      </c>
      <c r="P69" s="75" t="s">
        <v>28</v>
      </c>
      <c r="Q69" s="77" t="s">
        <v>28</v>
      </c>
      <c r="R69" s="77" t="s">
        <v>28</v>
      </c>
      <c r="S69" s="77" t="s">
        <v>28</v>
      </c>
      <c r="T69" s="77" t="s">
        <v>28</v>
      </c>
      <c r="U69" s="178" t="s">
        <v>28</v>
      </c>
      <c r="V69" s="178" t="s">
        <v>28</v>
      </c>
      <c r="W69" s="190" t="s">
        <v>28</v>
      </c>
      <c r="X69" s="114" t="s">
        <v>28</v>
      </c>
      <c r="Y69" s="191" t="s">
        <v>28</v>
      </c>
      <c r="Z69" s="188" t="s">
        <v>28</v>
      </c>
      <c r="AA69" s="75" t="s">
        <v>208</v>
      </c>
      <c r="AB69" s="77">
        <v>491377</v>
      </c>
      <c r="AC69" s="77" t="s">
        <v>20</v>
      </c>
      <c r="AD69" s="178">
        <v>0.80306309020171596</v>
      </c>
      <c r="AE69" s="178">
        <v>2.6909599999999999E-2</v>
      </c>
      <c r="AF69" s="129">
        <v>3.6293600000000002E-16</v>
      </c>
      <c r="AG69" s="189">
        <v>1</v>
      </c>
      <c r="AH69" s="190" t="s">
        <v>209</v>
      </c>
      <c r="AI69" s="191">
        <v>0.99999983100000001</v>
      </c>
      <c r="AJ69" s="192" t="s">
        <v>28</v>
      </c>
      <c r="AK69" s="193" t="s">
        <v>28</v>
      </c>
    </row>
    <row r="70" spans="2:37" ht="17" x14ac:dyDescent="0.2">
      <c r="B70" s="130">
        <v>40</v>
      </c>
      <c r="C70" s="131">
        <v>6</v>
      </c>
      <c r="D70" s="131" t="s">
        <v>2700</v>
      </c>
      <c r="E70" s="132" t="s">
        <v>1887</v>
      </c>
      <c r="F70" s="130" t="s">
        <v>210</v>
      </c>
      <c r="G70" s="131">
        <v>20689945</v>
      </c>
      <c r="H70" s="131" t="s">
        <v>40</v>
      </c>
      <c r="I70" s="131" t="s">
        <v>25</v>
      </c>
      <c r="J70" s="131" t="s">
        <v>211</v>
      </c>
      <c r="K70" s="204">
        <v>1.08958838883414</v>
      </c>
      <c r="L70" s="204">
        <v>1.0999999999999999E-2</v>
      </c>
      <c r="M70" s="207">
        <v>7.2950000000000004E-15</v>
      </c>
      <c r="N70" s="392">
        <v>48.9</v>
      </c>
      <c r="O70" s="208">
        <v>1.034E-2</v>
      </c>
      <c r="P70" s="130" t="s">
        <v>22</v>
      </c>
      <c r="Q70" s="131" t="s">
        <v>23</v>
      </c>
      <c r="R70" s="131" t="s">
        <v>23</v>
      </c>
      <c r="S70" s="131" t="s">
        <v>23</v>
      </c>
      <c r="T70" s="131" t="s">
        <v>23</v>
      </c>
      <c r="U70" s="204" t="s">
        <v>23</v>
      </c>
      <c r="V70" s="204" t="s">
        <v>23</v>
      </c>
      <c r="W70" s="207" t="s">
        <v>23</v>
      </c>
      <c r="X70" s="392" t="s">
        <v>23</v>
      </c>
      <c r="Y70" s="208" t="s">
        <v>23</v>
      </c>
      <c r="Z70" s="205">
        <v>1</v>
      </c>
      <c r="AA70" s="130" t="s">
        <v>210</v>
      </c>
      <c r="AB70" s="131">
        <v>20689945</v>
      </c>
      <c r="AC70" s="131" t="s">
        <v>40</v>
      </c>
      <c r="AD70" s="204">
        <v>1.08958838883414</v>
      </c>
      <c r="AE70" s="204">
        <v>1.10031E-2</v>
      </c>
      <c r="AF70" s="133">
        <v>6.2978200000000002E-15</v>
      </c>
      <c r="AG70" s="206">
        <v>6</v>
      </c>
      <c r="AH70" s="207" t="s">
        <v>212</v>
      </c>
      <c r="AI70" s="208">
        <v>0.44888305699999997</v>
      </c>
      <c r="AJ70" s="209" t="s">
        <v>213</v>
      </c>
      <c r="AK70" s="210" t="s">
        <v>28</v>
      </c>
    </row>
    <row r="71" spans="2:37" ht="17" x14ac:dyDescent="0.2">
      <c r="B71" s="86">
        <v>41</v>
      </c>
      <c r="C71" s="87">
        <v>6</v>
      </c>
      <c r="D71" s="87" t="s">
        <v>2701</v>
      </c>
      <c r="E71" s="89" t="s">
        <v>1610</v>
      </c>
      <c r="F71" s="86" t="s">
        <v>214</v>
      </c>
      <c r="G71" s="87">
        <v>31251924</v>
      </c>
      <c r="H71" s="87" t="s">
        <v>19</v>
      </c>
      <c r="I71" s="87" t="s">
        <v>20</v>
      </c>
      <c r="J71" s="87" t="s">
        <v>215</v>
      </c>
      <c r="K71" s="88">
        <v>3.3062016741385198</v>
      </c>
      <c r="L71" s="88">
        <v>1.43E-2</v>
      </c>
      <c r="M71" s="184" t="s">
        <v>2702</v>
      </c>
      <c r="N71" s="90">
        <v>95.8</v>
      </c>
      <c r="O71" s="395">
        <v>1.7789999999999999E-71</v>
      </c>
      <c r="P71" s="86" t="s">
        <v>216</v>
      </c>
      <c r="Q71" s="87">
        <v>31346655</v>
      </c>
      <c r="R71" s="87" t="s">
        <v>40</v>
      </c>
      <c r="S71" s="87" t="s">
        <v>25</v>
      </c>
      <c r="T71" s="87" t="s">
        <v>51</v>
      </c>
      <c r="U71" s="88">
        <v>3.5043322893029298</v>
      </c>
      <c r="V71" s="88">
        <v>1.9099999999999999E-2</v>
      </c>
      <c r="W71" s="184" t="s">
        <v>2703</v>
      </c>
      <c r="X71" s="90">
        <v>89.1</v>
      </c>
      <c r="Y71" s="395">
        <v>2.2370000000000001E-24</v>
      </c>
      <c r="Z71" s="182" t="s">
        <v>1753</v>
      </c>
      <c r="AA71" s="86" t="s">
        <v>23</v>
      </c>
      <c r="AB71" s="87" t="s">
        <v>23</v>
      </c>
      <c r="AC71" s="87" t="s">
        <v>23</v>
      </c>
      <c r="AD71" s="88" t="s">
        <v>23</v>
      </c>
      <c r="AE71" s="88" t="s">
        <v>23</v>
      </c>
      <c r="AF71" s="127" t="s">
        <v>23</v>
      </c>
      <c r="AG71" s="183">
        <v>1</v>
      </c>
      <c r="AH71" s="184" t="s">
        <v>217</v>
      </c>
      <c r="AI71" s="185">
        <v>1</v>
      </c>
      <c r="AJ71" s="186" t="s">
        <v>218</v>
      </c>
      <c r="AK71" s="187" t="s">
        <v>28</v>
      </c>
    </row>
    <row r="72" spans="2:37" ht="17" x14ac:dyDescent="0.2">
      <c r="B72" s="86">
        <v>42</v>
      </c>
      <c r="C72" s="87">
        <v>6</v>
      </c>
      <c r="D72" s="87" t="s">
        <v>2704</v>
      </c>
      <c r="E72" s="89" t="s">
        <v>1613</v>
      </c>
      <c r="F72" s="86" t="s">
        <v>219</v>
      </c>
      <c r="G72" s="87">
        <v>111913262</v>
      </c>
      <c r="H72" s="87" t="s">
        <v>19</v>
      </c>
      <c r="I72" s="87" t="s">
        <v>20</v>
      </c>
      <c r="J72" s="87" t="s">
        <v>51</v>
      </c>
      <c r="K72" s="88">
        <v>1.38583105583337</v>
      </c>
      <c r="L72" s="88">
        <v>1.61E-2</v>
      </c>
      <c r="M72" s="184">
        <v>1.24E-91</v>
      </c>
      <c r="N72" s="90">
        <v>81.099999999999994</v>
      </c>
      <c r="O72" s="395">
        <v>5.9649999999999997E-12</v>
      </c>
      <c r="P72" s="86" t="s">
        <v>22</v>
      </c>
      <c r="Q72" s="87" t="s">
        <v>23</v>
      </c>
      <c r="R72" s="87" t="s">
        <v>23</v>
      </c>
      <c r="S72" s="87" t="s">
        <v>23</v>
      </c>
      <c r="T72" s="87" t="s">
        <v>23</v>
      </c>
      <c r="U72" s="88" t="s">
        <v>23</v>
      </c>
      <c r="V72" s="88" t="s">
        <v>23</v>
      </c>
      <c r="W72" s="184" t="s">
        <v>23</v>
      </c>
      <c r="X72" s="90" t="s">
        <v>23</v>
      </c>
      <c r="Y72" s="185" t="s">
        <v>23</v>
      </c>
      <c r="Z72" s="182">
        <v>3</v>
      </c>
      <c r="AA72" s="86" t="s">
        <v>219</v>
      </c>
      <c r="AB72" s="87">
        <v>111913262</v>
      </c>
      <c r="AC72" s="87" t="s">
        <v>19</v>
      </c>
      <c r="AD72" s="88">
        <v>1.3096946258493101</v>
      </c>
      <c r="AE72" s="88">
        <v>1.7443400000000001E-2</v>
      </c>
      <c r="AF72" s="127">
        <v>5.8148199999999997E-54</v>
      </c>
      <c r="AG72" s="183">
        <v>1</v>
      </c>
      <c r="AH72" s="184" t="s">
        <v>220</v>
      </c>
      <c r="AI72" s="185">
        <v>1</v>
      </c>
      <c r="AJ72" s="186" t="s">
        <v>221</v>
      </c>
      <c r="AK72" s="187" t="s">
        <v>28</v>
      </c>
    </row>
    <row r="73" spans="2:37" ht="17" x14ac:dyDescent="0.2">
      <c r="B73" s="66" t="s">
        <v>28</v>
      </c>
      <c r="C73" s="67" t="s">
        <v>28</v>
      </c>
      <c r="D73" s="67" t="s">
        <v>28</v>
      </c>
      <c r="E73" s="69" t="s">
        <v>28</v>
      </c>
      <c r="F73" s="66" t="s">
        <v>28</v>
      </c>
      <c r="G73" s="67" t="s">
        <v>28</v>
      </c>
      <c r="H73" s="67" t="s">
        <v>28</v>
      </c>
      <c r="I73" s="67" t="s">
        <v>28</v>
      </c>
      <c r="J73" s="67" t="s">
        <v>28</v>
      </c>
      <c r="K73" s="68" t="s">
        <v>28</v>
      </c>
      <c r="L73" s="68" t="s">
        <v>28</v>
      </c>
      <c r="M73" s="213" t="s">
        <v>28</v>
      </c>
      <c r="N73" s="80" t="s">
        <v>28</v>
      </c>
      <c r="O73" s="69" t="s">
        <v>28</v>
      </c>
      <c r="P73" s="66" t="s">
        <v>28</v>
      </c>
      <c r="Q73" s="67" t="s">
        <v>28</v>
      </c>
      <c r="R73" s="67" t="s">
        <v>28</v>
      </c>
      <c r="S73" s="67" t="s">
        <v>28</v>
      </c>
      <c r="T73" s="67" t="s">
        <v>28</v>
      </c>
      <c r="U73" s="68" t="s">
        <v>28</v>
      </c>
      <c r="V73" s="68" t="s">
        <v>28</v>
      </c>
      <c r="W73" s="213" t="s">
        <v>28</v>
      </c>
      <c r="X73" s="80" t="s">
        <v>28</v>
      </c>
      <c r="Y73" s="214" t="s">
        <v>28</v>
      </c>
      <c r="Z73" s="211" t="s">
        <v>28</v>
      </c>
      <c r="AA73" s="66" t="s">
        <v>222</v>
      </c>
      <c r="AB73" s="67">
        <v>111942781</v>
      </c>
      <c r="AC73" s="67" t="s">
        <v>19</v>
      </c>
      <c r="AD73" s="68">
        <v>1.1370804856568899</v>
      </c>
      <c r="AE73" s="68">
        <v>1.83013E-2</v>
      </c>
      <c r="AF73" s="128">
        <v>2.22798E-12</v>
      </c>
      <c r="AG73" s="212">
        <v>2</v>
      </c>
      <c r="AH73" s="213" t="s">
        <v>223</v>
      </c>
      <c r="AI73" s="214">
        <v>0.86040110000000003</v>
      </c>
      <c r="AJ73" s="215" t="s">
        <v>28</v>
      </c>
      <c r="AK73" s="216" t="s">
        <v>28</v>
      </c>
    </row>
    <row r="74" spans="2:37" ht="17" x14ac:dyDescent="0.2">
      <c r="B74" s="75" t="s">
        <v>28</v>
      </c>
      <c r="C74" s="77" t="s">
        <v>28</v>
      </c>
      <c r="D74" s="77" t="s">
        <v>28</v>
      </c>
      <c r="E74" s="79" t="s">
        <v>28</v>
      </c>
      <c r="F74" s="75" t="s">
        <v>28</v>
      </c>
      <c r="G74" s="77" t="s">
        <v>28</v>
      </c>
      <c r="H74" s="77" t="s">
        <v>28</v>
      </c>
      <c r="I74" s="77" t="s">
        <v>28</v>
      </c>
      <c r="J74" s="77" t="s">
        <v>28</v>
      </c>
      <c r="K74" s="178" t="s">
        <v>28</v>
      </c>
      <c r="L74" s="178" t="s">
        <v>28</v>
      </c>
      <c r="M74" s="190" t="s">
        <v>28</v>
      </c>
      <c r="N74" s="114" t="s">
        <v>28</v>
      </c>
      <c r="O74" s="79" t="s">
        <v>28</v>
      </c>
      <c r="P74" s="75" t="s">
        <v>28</v>
      </c>
      <c r="Q74" s="77" t="s">
        <v>28</v>
      </c>
      <c r="R74" s="77" t="s">
        <v>28</v>
      </c>
      <c r="S74" s="77" t="s">
        <v>28</v>
      </c>
      <c r="T74" s="77" t="s">
        <v>28</v>
      </c>
      <c r="U74" s="178" t="s">
        <v>28</v>
      </c>
      <c r="V74" s="178" t="s">
        <v>28</v>
      </c>
      <c r="W74" s="190" t="s">
        <v>28</v>
      </c>
      <c r="X74" s="114" t="s">
        <v>28</v>
      </c>
      <c r="Y74" s="191" t="s">
        <v>28</v>
      </c>
      <c r="Z74" s="188" t="s">
        <v>28</v>
      </c>
      <c r="AA74" s="75" t="s">
        <v>224</v>
      </c>
      <c r="AB74" s="77">
        <v>111932873</v>
      </c>
      <c r="AC74" s="77" t="s">
        <v>19</v>
      </c>
      <c r="AD74" s="178">
        <v>0.93841161900560199</v>
      </c>
      <c r="AE74" s="178">
        <v>1.0071500000000001E-2</v>
      </c>
      <c r="AF74" s="129">
        <v>2.76304E-10</v>
      </c>
      <c r="AG74" s="189">
        <v>1</v>
      </c>
      <c r="AH74" s="190" t="s">
        <v>225</v>
      </c>
      <c r="AI74" s="191">
        <v>0.99777352600000002</v>
      </c>
      <c r="AJ74" s="192" t="s">
        <v>28</v>
      </c>
      <c r="AK74" s="193" t="s">
        <v>28</v>
      </c>
    </row>
    <row r="75" spans="2:37" ht="17" x14ac:dyDescent="0.2">
      <c r="B75" s="86">
        <v>43</v>
      </c>
      <c r="C75" s="87">
        <v>6</v>
      </c>
      <c r="D75" s="87" t="s">
        <v>2705</v>
      </c>
      <c r="E75" s="89" t="s">
        <v>1888</v>
      </c>
      <c r="F75" s="86" t="s">
        <v>226</v>
      </c>
      <c r="G75" s="87">
        <v>138197824</v>
      </c>
      <c r="H75" s="87" t="s">
        <v>19</v>
      </c>
      <c r="I75" s="87" t="s">
        <v>20</v>
      </c>
      <c r="J75" s="87" t="s">
        <v>227</v>
      </c>
      <c r="K75" s="88">
        <v>0.86927130392191199</v>
      </c>
      <c r="L75" s="88">
        <v>0.01</v>
      </c>
      <c r="M75" s="184">
        <v>6.9230000000000002E-45</v>
      </c>
      <c r="N75" s="90">
        <v>34.9</v>
      </c>
      <c r="O75" s="185">
        <v>7.213E-2</v>
      </c>
      <c r="P75" s="86" t="s">
        <v>22</v>
      </c>
      <c r="Q75" s="87" t="s">
        <v>23</v>
      </c>
      <c r="R75" s="87" t="s">
        <v>23</v>
      </c>
      <c r="S75" s="87" t="s">
        <v>23</v>
      </c>
      <c r="T75" s="87" t="s">
        <v>23</v>
      </c>
      <c r="U75" s="88" t="s">
        <v>23</v>
      </c>
      <c r="V75" s="88" t="s">
        <v>23</v>
      </c>
      <c r="W75" s="184" t="s">
        <v>23</v>
      </c>
      <c r="X75" s="90" t="s">
        <v>23</v>
      </c>
      <c r="Y75" s="185" t="s">
        <v>23</v>
      </c>
      <c r="Z75" s="182">
        <v>2</v>
      </c>
      <c r="AA75" s="86" t="s">
        <v>226</v>
      </c>
      <c r="AB75" s="87">
        <v>138197824</v>
      </c>
      <c r="AC75" s="87" t="s">
        <v>19</v>
      </c>
      <c r="AD75" s="88">
        <v>0.86872296674770999</v>
      </c>
      <c r="AE75" s="88">
        <v>1.00096E-2</v>
      </c>
      <c r="AF75" s="127">
        <v>6.7258400000000005E-45</v>
      </c>
      <c r="AG75" s="183">
        <v>4</v>
      </c>
      <c r="AH75" s="184" t="s">
        <v>228</v>
      </c>
      <c r="AI75" s="185">
        <v>0.50166554299999999</v>
      </c>
      <c r="AJ75" s="186" t="s">
        <v>229</v>
      </c>
      <c r="AK75" s="187" t="s">
        <v>28</v>
      </c>
    </row>
    <row r="76" spans="2:37" ht="17" x14ac:dyDescent="0.2">
      <c r="B76" s="75" t="s">
        <v>28</v>
      </c>
      <c r="C76" s="77" t="s">
        <v>28</v>
      </c>
      <c r="D76" s="77" t="s">
        <v>28</v>
      </c>
      <c r="E76" s="79" t="s">
        <v>28</v>
      </c>
      <c r="F76" s="75" t="s">
        <v>28</v>
      </c>
      <c r="G76" s="77" t="s">
        <v>28</v>
      </c>
      <c r="H76" s="77" t="s">
        <v>28</v>
      </c>
      <c r="I76" s="77" t="s">
        <v>28</v>
      </c>
      <c r="J76" s="77" t="s">
        <v>28</v>
      </c>
      <c r="K76" s="178" t="s">
        <v>28</v>
      </c>
      <c r="L76" s="178" t="s">
        <v>28</v>
      </c>
      <c r="M76" s="190" t="s">
        <v>28</v>
      </c>
      <c r="N76" s="114" t="s">
        <v>28</v>
      </c>
      <c r="O76" s="191" t="s">
        <v>28</v>
      </c>
      <c r="P76" s="75" t="s">
        <v>28</v>
      </c>
      <c r="Q76" s="77" t="s">
        <v>28</v>
      </c>
      <c r="R76" s="77" t="s">
        <v>28</v>
      </c>
      <c r="S76" s="77" t="s">
        <v>28</v>
      </c>
      <c r="T76" s="77" t="s">
        <v>28</v>
      </c>
      <c r="U76" s="178" t="s">
        <v>28</v>
      </c>
      <c r="V76" s="178" t="s">
        <v>28</v>
      </c>
      <c r="W76" s="190" t="s">
        <v>28</v>
      </c>
      <c r="X76" s="114" t="s">
        <v>28</v>
      </c>
      <c r="Y76" s="191" t="s">
        <v>28</v>
      </c>
      <c r="Z76" s="188" t="s">
        <v>28</v>
      </c>
      <c r="AA76" s="75" t="s">
        <v>230</v>
      </c>
      <c r="AB76" s="77">
        <v>137958265</v>
      </c>
      <c r="AC76" s="77" t="s">
        <v>19</v>
      </c>
      <c r="AD76" s="178">
        <v>0.94014994545311303</v>
      </c>
      <c r="AE76" s="178">
        <v>9.2022800000000002E-3</v>
      </c>
      <c r="AF76" s="129">
        <v>1.9923299999999999E-11</v>
      </c>
      <c r="AG76" s="189">
        <v>33</v>
      </c>
      <c r="AH76" s="190" t="s">
        <v>231</v>
      </c>
      <c r="AI76" s="191">
        <v>6.5554180000000004E-2</v>
      </c>
      <c r="AJ76" s="192" t="s">
        <v>28</v>
      </c>
      <c r="AK76" s="193" t="s">
        <v>28</v>
      </c>
    </row>
    <row r="77" spans="2:37" ht="17" x14ac:dyDescent="0.2">
      <c r="B77" s="130">
        <v>44</v>
      </c>
      <c r="C77" s="131">
        <v>6</v>
      </c>
      <c r="D77" s="131" t="s">
        <v>2706</v>
      </c>
      <c r="E77" s="132" t="s">
        <v>1889</v>
      </c>
      <c r="F77" s="130" t="s">
        <v>232</v>
      </c>
      <c r="G77" s="131">
        <v>159506600</v>
      </c>
      <c r="H77" s="131" t="s">
        <v>19</v>
      </c>
      <c r="I77" s="131" t="s">
        <v>20</v>
      </c>
      <c r="J77" s="131" t="s">
        <v>233</v>
      </c>
      <c r="K77" s="204">
        <v>0.91612725434465403</v>
      </c>
      <c r="L77" s="204">
        <v>9.5999999999999992E-3</v>
      </c>
      <c r="M77" s="207">
        <v>5.6880000000000001E-20</v>
      </c>
      <c r="N77" s="392">
        <v>0</v>
      </c>
      <c r="O77" s="208">
        <v>0.63139999999999996</v>
      </c>
      <c r="P77" s="130" t="s">
        <v>22</v>
      </c>
      <c r="Q77" s="131" t="s">
        <v>23</v>
      </c>
      <c r="R77" s="131" t="s">
        <v>23</v>
      </c>
      <c r="S77" s="131" t="s">
        <v>23</v>
      </c>
      <c r="T77" s="131" t="s">
        <v>23</v>
      </c>
      <c r="U77" s="204" t="s">
        <v>23</v>
      </c>
      <c r="V77" s="204" t="s">
        <v>23</v>
      </c>
      <c r="W77" s="207" t="s">
        <v>23</v>
      </c>
      <c r="X77" s="392" t="s">
        <v>23</v>
      </c>
      <c r="Y77" s="208" t="s">
        <v>23</v>
      </c>
      <c r="Z77" s="205">
        <v>1</v>
      </c>
      <c r="AA77" s="130" t="s">
        <v>232</v>
      </c>
      <c r="AB77" s="131">
        <v>159506600</v>
      </c>
      <c r="AC77" s="131" t="s">
        <v>19</v>
      </c>
      <c r="AD77" s="204">
        <v>0.91612725434465403</v>
      </c>
      <c r="AE77" s="204">
        <v>9.6038800000000004E-3</v>
      </c>
      <c r="AF77" s="133">
        <v>7.4216800000000006E-20</v>
      </c>
      <c r="AG77" s="206">
        <v>7</v>
      </c>
      <c r="AH77" s="207" t="s">
        <v>234</v>
      </c>
      <c r="AI77" s="208">
        <v>0.49010408599999999</v>
      </c>
      <c r="AJ77" s="209" t="s">
        <v>235</v>
      </c>
      <c r="AK77" s="210" t="s">
        <v>28</v>
      </c>
    </row>
    <row r="78" spans="2:37" ht="17" x14ac:dyDescent="0.2">
      <c r="B78" s="194">
        <v>45</v>
      </c>
      <c r="C78" s="195">
        <v>7</v>
      </c>
      <c r="D78" s="195" t="s">
        <v>2707</v>
      </c>
      <c r="E78" s="196" t="s">
        <v>1890</v>
      </c>
      <c r="F78" s="194" t="s">
        <v>236</v>
      </c>
      <c r="G78" s="195">
        <v>17165436</v>
      </c>
      <c r="H78" s="195" t="s">
        <v>19</v>
      </c>
      <c r="I78" s="195" t="s">
        <v>20</v>
      </c>
      <c r="J78" s="195" t="s">
        <v>237</v>
      </c>
      <c r="K78" s="197">
        <v>1.06332415879612</v>
      </c>
      <c r="L78" s="197">
        <v>1.0800000000000001E-2</v>
      </c>
      <c r="M78" s="217">
        <v>1.261E-8</v>
      </c>
      <c r="N78" s="391">
        <v>0</v>
      </c>
      <c r="O78" s="201">
        <v>0.46939999999999998</v>
      </c>
      <c r="P78" s="194" t="s">
        <v>22</v>
      </c>
      <c r="Q78" s="195" t="s">
        <v>23</v>
      </c>
      <c r="R78" s="195" t="s">
        <v>23</v>
      </c>
      <c r="S78" s="195" t="s">
        <v>23</v>
      </c>
      <c r="T78" s="195" t="s">
        <v>23</v>
      </c>
      <c r="U78" s="197" t="s">
        <v>23</v>
      </c>
      <c r="V78" s="197" t="s">
        <v>23</v>
      </c>
      <c r="W78" s="217" t="s">
        <v>23</v>
      </c>
      <c r="X78" s="391" t="s">
        <v>23</v>
      </c>
      <c r="Y78" s="201" t="s">
        <v>23</v>
      </c>
      <c r="Z78" s="199">
        <v>1</v>
      </c>
      <c r="AA78" s="194" t="s">
        <v>236</v>
      </c>
      <c r="AB78" s="195">
        <v>17165436</v>
      </c>
      <c r="AC78" s="195" t="s">
        <v>20</v>
      </c>
      <c r="AD78" s="197">
        <v>0.940446985735924</v>
      </c>
      <c r="AE78" s="197">
        <v>1.08016E-2</v>
      </c>
      <c r="AF78" s="198">
        <v>1.31313E-8</v>
      </c>
      <c r="AG78" s="200">
        <v>8</v>
      </c>
      <c r="AH78" s="217" t="s">
        <v>238</v>
      </c>
      <c r="AI78" s="201">
        <v>0.36641419600000003</v>
      </c>
      <c r="AJ78" s="202" t="s">
        <v>38</v>
      </c>
      <c r="AK78" s="203" t="s">
        <v>28</v>
      </c>
    </row>
    <row r="79" spans="2:37" ht="17" x14ac:dyDescent="0.2">
      <c r="B79" s="194">
        <v>46</v>
      </c>
      <c r="C79" s="195">
        <v>7</v>
      </c>
      <c r="D79" s="195" t="s">
        <v>2708</v>
      </c>
      <c r="E79" s="196" t="s">
        <v>1617</v>
      </c>
      <c r="F79" s="194" t="s">
        <v>239</v>
      </c>
      <c r="G79" s="195">
        <v>29132279</v>
      </c>
      <c r="H79" s="195" t="s">
        <v>40</v>
      </c>
      <c r="I79" s="195" t="s">
        <v>25</v>
      </c>
      <c r="J79" s="195" t="s">
        <v>240</v>
      </c>
      <c r="K79" s="197">
        <v>0.86666739782222502</v>
      </c>
      <c r="L79" s="197">
        <v>2.52E-2</v>
      </c>
      <c r="M79" s="217">
        <v>1.371E-8</v>
      </c>
      <c r="N79" s="391">
        <v>31.2</v>
      </c>
      <c r="O79" s="201">
        <v>0.1012</v>
      </c>
      <c r="P79" s="194" t="s">
        <v>22</v>
      </c>
      <c r="Q79" s="195" t="s">
        <v>23</v>
      </c>
      <c r="R79" s="195" t="s">
        <v>23</v>
      </c>
      <c r="S79" s="195" t="s">
        <v>23</v>
      </c>
      <c r="T79" s="195" t="s">
        <v>23</v>
      </c>
      <c r="U79" s="197" t="s">
        <v>23</v>
      </c>
      <c r="V79" s="197" t="s">
        <v>23</v>
      </c>
      <c r="W79" s="217" t="s">
        <v>23</v>
      </c>
      <c r="X79" s="391" t="s">
        <v>23</v>
      </c>
      <c r="Y79" s="201" t="s">
        <v>23</v>
      </c>
      <c r="Z79" s="199">
        <v>1</v>
      </c>
      <c r="AA79" s="194" t="s">
        <v>239</v>
      </c>
      <c r="AB79" s="195">
        <v>29132279</v>
      </c>
      <c r="AC79" s="195" t="s">
        <v>25</v>
      </c>
      <c r="AD79" s="197">
        <v>1.15384518041502</v>
      </c>
      <c r="AE79" s="197">
        <v>2.5203799999999998E-2</v>
      </c>
      <c r="AF79" s="198">
        <v>1.3650999999999999E-8</v>
      </c>
      <c r="AG79" s="200">
        <v>7</v>
      </c>
      <c r="AH79" s="217" t="s">
        <v>241</v>
      </c>
      <c r="AI79" s="201">
        <v>0.82060857300000001</v>
      </c>
      <c r="AJ79" s="202" t="s">
        <v>38</v>
      </c>
      <c r="AK79" s="203" t="s">
        <v>28</v>
      </c>
    </row>
    <row r="80" spans="2:37" ht="17" x14ac:dyDescent="0.2">
      <c r="B80" s="130">
        <v>47</v>
      </c>
      <c r="C80" s="131">
        <v>7</v>
      </c>
      <c r="D80" s="131" t="s">
        <v>2709</v>
      </c>
      <c r="E80" s="132" t="s">
        <v>1891</v>
      </c>
      <c r="F80" s="130" t="s">
        <v>242</v>
      </c>
      <c r="G80" s="131">
        <v>37404798</v>
      </c>
      <c r="H80" s="131" t="s">
        <v>19</v>
      </c>
      <c r="I80" s="131" t="s">
        <v>20</v>
      </c>
      <c r="J80" s="131" t="s">
        <v>59</v>
      </c>
      <c r="K80" s="204">
        <v>0.90375226435674205</v>
      </c>
      <c r="L80" s="204">
        <v>1.47E-2</v>
      </c>
      <c r="M80" s="207">
        <v>4.9839999999999998E-12</v>
      </c>
      <c r="N80" s="392">
        <v>0</v>
      </c>
      <c r="O80" s="208">
        <v>0.62590000000000001</v>
      </c>
      <c r="P80" s="130" t="s">
        <v>22</v>
      </c>
      <c r="Q80" s="131" t="s">
        <v>23</v>
      </c>
      <c r="R80" s="131" t="s">
        <v>23</v>
      </c>
      <c r="S80" s="131" t="s">
        <v>23</v>
      </c>
      <c r="T80" s="131" t="s">
        <v>23</v>
      </c>
      <c r="U80" s="204" t="s">
        <v>23</v>
      </c>
      <c r="V80" s="204" t="s">
        <v>23</v>
      </c>
      <c r="W80" s="207" t="s">
        <v>23</v>
      </c>
      <c r="X80" s="392" t="s">
        <v>23</v>
      </c>
      <c r="Y80" s="208" t="s">
        <v>23</v>
      </c>
      <c r="Z80" s="205">
        <v>1</v>
      </c>
      <c r="AA80" s="130" t="s">
        <v>243</v>
      </c>
      <c r="AB80" s="131">
        <v>37382465</v>
      </c>
      <c r="AC80" s="131" t="s">
        <v>25</v>
      </c>
      <c r="AD80" s="204">
        <v>1.1101553938662201</v>
      </c>
      <c r="AE80" s="204">
        <v>1.5103399999999999E-2</v>
      </c>
      <c r="AF80" s="133">
        <v>4.5490900000000004E-12</v>
      </c>
      <c r="AG80" s="206">
        <v>39</v>
      </c>
      <c r="AH80" s="207" t="s">
        <v>244</v>
      </c>
      <c r="AI80" s="208">
        <v>8.0375452E-2</v>
      </c>
      <c r="AJ80" s="209" t="s">
        <v>245</v>
      </c>
      <c r="AK80" s="210" t="s">
        <v>28</v>
      </c>
    </row>
    <row r="81" spans="2:37" ht="17" x14ac:dyDescent="0.2">
      <c r="B81" s="194">
        <v>48</v>
      </c>
      <c r="C81" s="195">
        <v>7</v>
      </c>
      <c r="D81" s="195" t="s">
        <v>2710</v>
      </c>
      <c r="E81" s="196" t="s">
        <v>1892</v>
      </c>
      <c r="F81" s="194" t="s">
        <v>246</v>
      </c>
      <c r="G81" s="195">
        <v>128567032</v>
      </c>
      <c r="H81" s="195" t="s">
        <v>19</v>
      </c>
      <c r="I81" s="195" t="s">
        <v>20</v>
      </c>
      <c r="J81" s="195" t="s">
        <v>247</v>
      </c>
      <c r="K81" s="197">
        <v>0.93669271134745502</v>
      </c>
      <c r="L81" s="197">
        <v>9.1999999999999998E-3</v>
      </c>
      <c r="M81" s="217">
        <v>1.263E-12</v>
      </c>
      <c r="N81" s="391">
        <v>2.7</v>
      </c>
      <c r="O81" s="201">
        <v>0.4229</v>
      </c>
      <c r="P81" s="194" t="s">
        <v>22</v>
      </c>
      <c r="Q81" s="195" t="s">
        <v>23</v>
      </c>
      <c r="R81" s="195" t="s">
        <v>23</v>
      </c>
      <c r="S81" s="195" t="s">
        <v>23</v>
      </c>
      <c r="T81" s="195" t="s">
        <v>23</v>
      </c>
      <c r="U81" s="197" t="s">
        <v>23</v>
      </c>
      <c r="V81" s="197" t="s">
        <v>23</v>
      </c>
      <c r="W81" s="217" t="s">
        <v>23</v>
      </c>
      <c r="X81" s="391" t="s">
        <v>23</v>
      </c>
      <c r="Y81" s="201" t="s">
        <v>23</v>
      </c>
      <c r="Z81" s="199">
        <v>1</v>
      </c>
      <c r="AA81" s="194" t="s">
        <v>246</v>
      </c>
      <c r="AB81" s="195">
        <v>128567032</v>
      </c>
      <c r="AC81" s="195" t="s">
        <v>20</v>
      </c>
      <c r="AD81" s="197">
        <v>1.0675859733780499</v>
      </c>
      <c r="AE81" s="197">
        <v>9.2022100000000006E-3</v>
      </c>
      <c r="AF81" s="198">
        <v>1.1860299999999999E-12</v>
      </c>
      <c r="AG81" s="200">
        <v>5</v>
      </c>
      <c r="AH81" s="217" t="s">
        <v>248</v>
      </c>
      <c r="AI81" s="201">
        <v>0.69763560700000005</v>
      </c>
      <c r="AJ81" s="202" t="s">
        <v>38</v>
      </c>
      <c r="AK81" s="203" t="s">
        <v>28</v>
      </c>
    </row>
    <row r="82" spans="2:37" ht="17" x14ac:dyDescent="0.2">
      <c r="B82" s="218">
        <v>49</v>
      </c>
      <c r="C82" s="219">
        <v>8</v>
      </c>
      <c r="D82" s="219" t="s">
        <v>2711</v>
      </c>
      <c r="E82" s="220" t="s">
        <v>1825</v>
      </c>
      <c r="F82" s="218" t="s">
        <v>249</v>
      </c>
      <c r="G82" s="219">
        <v>61841979</v>
      </c>
      <c r="H82" s="219" t="s">
        <v>40</v>
      </c>
      <c r="I82" s="219" t="s">
        <v>25</v>
      </c>
      <c r="J82" s="219" t="s">
        <v>128</v>
      </c>
      <c r="K82" s="221">
        <v>1.16102124334136</v>
      </c>
      <c r="L82" s="221">
        <v>2.1600000000000001E-2</v>
      </c>
      <c r="M82" s="225">
        <v>4.9789999999999997E-12</v>
      </c>
      <c r="N82" s="393">
        <v>0</v>
      </c>
      <c r="O82" s="226">
        <v>0.84770000000000001</v>
      </c>
      <c r="P82" s="218" t="s">
        <v>22</v>
      </c>
      <c r="Q82" s="219" t="s">
        <v>23</v>
      </c>
      <c r="R82" s="219" t="s">
        <v>23</v>
      </c>
      <c r="S82" s="219" t="s">
        <v>23</v>
      </c>
      <c r="T82" s="219" t="s">
        <v>23</v>
      </c>
      <c r="U82" s="221" t="s">
        <v>23</v>
      </c>
      <c r="V82" s="221" t="s">
        <v>23</v>
      </c>
      <c r="W82" s="225" t="s">
        <v>23</v>
      </c>
      <c r="X82" s="393" t="s">
        <v>23</v>
      </c>
      <c r="Y82" s="226" t="s">
        <v>23</v>
      </c>
      <c r="Z82" s="223">
        <v>2</v>
      </c>
      <c r="AA82" s="218" t="s">
        <v>249</v>
      </c>
      <c r="AB82" s="219">
        <v>61841979</v>
      </c>
      <c r="AC82" s="219" t="s">
        <v>40</v>
      </c>
      <c r="AD82" s="221">
        <v>1.1673625810081201</v>
      </c>
      <c r="AE82" s="221">
        <v>2.1625999999999999E-2</v>
      </c>
      <c r="AF82" s="222">
        <v>8.3294799999999996E-13</v>
      </c>
      <c r="AG82" s="224">
        <v>1</v>
      </c>
      <c r="AH82" s="225" t="s">
        <v>250</v>
      </c>
      <c r="AI82" s="226">
        <v>0.99998225200000002</v>
      </c>
      <c r="AJ82" s="227" t="s">
        <v>38</v>
      </c>
      <c r="AK82" s="228" t="s">
        <v>28</v>
      </c>
    </row>
    <row r="83" spans="2:37" ht="17" x14ac:dyDescent="0.2">
      <c r="B83" s="229" t="s">
        <v>28</v>
      </c>
      <c r="C83" s="230" t="s">
        <v>28</v>
      </c>
      <c r="D83" s="230" t="s">
        <v>28</v>
      </c>
      <c r="E83" s="231" t="s">
        <v>28</v>
      </c>
      <c r="F83" s="229" t="s">
        <v>28</v>
      </c>
      <c r="G83" s="230" t="s">
        <v>28</v>
      </c>
      <c r="H83" s="230" t="s">
        <v>28</v>
      </c>
      <c r="I83" s="230" t="s">
        <v>28</v>
      </c>
      <c r="J83" s="230" t="s">
        <v>28</v>
      </c>
      <c r="K83" s="232" t="s">
        <v>28</v>
      </c>
      <c r="L83" s="232" t="s">
        <v>28</v>
      </c>
      <c r="M83" s="236" t="s">
        <v>28</v>
      </c>
      <c r="N83" s="394" t="s">
        <v>28</v>
      </c>
      <c r="O83" s="237" t="s">
        <v>28</v>
      </c>
      <c r="P83" s="229" t="s">
        <v>28</v>
      </c>
      <c r="Q83" s="230" t="s">
        <v>28</v>
      </c>
      <c r="R83" s="230" t="s">
        <v>28</v>
      </c>
      <c r="S83" s="230" t="s">
        <v>28</v>
      </c>
      <c r="T83" s="230" t="s">
        <v>28</v>
      </c>
      <c r="U83" s="232" t="s">
        <v>28</v>
      </c>
      <c r="V83" s="232" t="s">
        <v>28</v>
      </c>
      <c r="W83" s="236" t="s">
        <v>28</v>
      </c>
      <c r="X83" s="394" t="s">
        <v>28</v>
      </c>
      <c r="Y83" s="237" t="s">
        <v>28</v>
      </c>
      <c r="Z83" s="233" t="s">
        <v>28</v>
      </c>
      <c r="AA83" s="229" t="s">
        <v>251</v>
      </c>
      <c r="AB83" s="230">
        <v>61851852</v>
      </c>
      <c r="AC83" s="230" t="s">
        <v>117</v>
      </c>
      <c r="AD83" s="232">
        <v>0.90646242525439003</v>
      </c>
      <c r="AE83" s="232">
        <v>1.7319999999999999E-2</v>
      </c>
      <c r="AF83" s="234">
        <v>1.4273900000000001E-8</v>
      </c>
      <c r="AG83" s="235">
        <v>5</v>
      </c>
      <c r="AH83" s="236" t="s">
        <v>252</v>
      </c>
      <c r="AI83" s="237">
        <v>0.80421272600000004</v>
      </c>
      <c r="AJ83" s="238" t="s">
        <v>28</v>
      </c>
      <c r="AK83" s="239" t="s">
        <v>28</v>
      </c>
    </row>
    <row r="84" spans="2:37" ht="17" x14ac:dyDescent="0.2">
      <c r="B84" s="194">
        <v>50</v>
      </c>
      <c r="C84" s="195">
        <v>8</v>
      </c>
      <c r="D84" s="195" t="s">
        <v>2712</v>
      </c>
      <c r="E84" s="196" t="s">
        <v>1893</v>
      </c>
      <c r="F84" s="194" t="s">
        <v>253</v>
      </c>
      <c r="G84" s="195">
        <v>81298643</v>
      </c>
      <c r="H84" s="195" t="s">
        <v>19</v>
      </c>
      <c r="I84" s="195" t="s">
        <v>25</v>
      </c>
      <c r="J84" s="195" t="s">
        <v>254</v>
      </c>
      <c r="K84" s="197">
        <v>0.93314003340747598</v>
      </c>
      <c r="L84" s="197">
        <v>9.7999999999999997E-3</v>
      </c>
      <c r="M84" s="217">
        <v>2.0789999999999999E-12</v>
      </c>
      <c r="N84" s="391">
        <v>4.4000000000000004</v>
      </c>
      <c r="O84" s="201">
        <v>0.40239999999999998</v>
      </c>
      <c r="P84" s="194" t="s">
        <v>22</v>
      </c>
      <c r="Q84" s="195" t="s">
        <v>23</v>
      </c>
      <c r="R84" s="195" t="s">
        <v>23</v>
      </c>
      <c r="S84" s="195" t="s">
        <v>23</v>
      </c>
      <c r="T84" s="195" t="s">
        <v>23</v>
      </c>
      <c r="U84" s="197" t="s">
        <v>23</v>
      </c>
      <c r="V84" s="197" t="s">
        <v>23</v>
      </c>
      <c r="W84" s="217" t="s">
        <v>23</v>
      </c>
      <c r="X84" s="391" t="s">
        <v>23</v>
      </c>
      <c r="Y84" s="201" t="s">
        <v>23</v>
      </c>
      <c r="Z84" s="199">
        <v>1</v>
      </c>
      <c r="AA84" s="194" t="s">
        <v>253</v>
      </c>
      <c r="AB84" s="195">
        <v>81298643</v>
      </c>
      <c r="AC84" s="195" t="s">
        <v>19</v>
      </c>
      <c r="AD84" s="197">
        <v>0.93314003340747598</v>
      </c>
      <c r="AE84" s="197">
        <v>9.8023199999999998E-3</v>
      </c>
      <c r="AF84" s="198">
        <v>1.67035E-12</v>
      </c>
      <c r="AG84" s="200">
        <v>8</v>
      </c>
      <c r="AH84" s="217" t="s">
        <v>255</v>
      </c>
      <c r="AI84" s="201">
        <v>0.74113951300000003</v>
      </c>
      <c r="AJ84" s="202" t="s">
        <v>38</v>
      </c>
      <c r="AK84" s="203" t="s">
        <v>28</v>
      </c>
    </row>
    <row r="85" spans="2:37" ht="17" x14ac:dyDescent="0.2">
      <c r="B85" s="194">
        <v>51</v>
      </c>
      <c r="C85" s="195">
        <v>8</v>
      </c>
      <c r="D85" s="195" t="s">
        <v>2713</v>
      </c>
      <c r="E85" s="196" t="s">
        <v>1894</v>
      </c>
      <c r="F85" s="194" t="s">
        <v>256</v>
      </c>
      <c r="G85" s="195">
        <v>126439406</v>
      </c>
      <c r="H85" s="195" t="s">
        <v>19</v>
      </c>
      <c r="I85" s="195" t="s">
        <v>20</v>
      </c>
      <c r="J85" s="195" t="s">
        <v>257</v>
      </c>
      <c r="K85" s="197">
        <v>0.94431073364819595</v>
      </c>
      <c r="L85" s="197">
        <v>9.4999999999999998E-3</v>
      </c>
      <c r="M85" s="217">
        <v>1.7510000000000001E-9</v>
      </c>
      <c r="N85" s="391">
        <v>7</v>
      </c>
      <c r="O85" s="201">
        <v>0.37169999999999997</v>
      </c>
      <c r="P85" s="194" t="s">
        <v>22</v>
      </c>
      <c r="Q85" s="195" t="s">
        <v>23</v>
      </c>
      <c r="R85" s="195" t="s">
        <v>23</v>
      </c>
      <c r="S85" s="195" t="s">
        <v>23</v>
      </c>
      <c r="T85" s="195" t="s">
        <v>23</v>
      </c>
      <c r="U85" s="197" t="s">
        <v>23</v>
      </c>
      <c r="V85" s="197" t="s">
        <v>23</v>
      </c>
      <c r="W85" s="217" t="s">
        <v>23</v>
      </c>
      <c r="X85" s="391" t="s">
        <v>23</v>
      </c>
      <c r="Y85" s="201" t="s">
        <v>23</v>
      </c>
      <c r="Z85" s="199">
        <v>1</v>
      </c>
      <c r="AA85" s="194" t="s">
        <v>256</v>
      </c>
      <c r="AB85" s="195">
        <v>126439406</v>
      </c>
      <c r="AC85" s="195" t="s">
        <v>20</v>
      </c>
      <c r="AD85" s="197">
        <v>1.05897345478289</v>
      </c>
      <c r="AE85" s="197">
        <v>9.5016900000000001E-3</v>
      </c>
      <c r="AF85" s="198">
        <v>1.63444E-9</v>
      </c>
      <c r="AG85" s="200">
        <v>2</v>
      </c>
      <c r="AH85" s="217" t="s">
        <v>258</v>
      </c>
      <c r="AI85" s="201">
        <v>0.92301428699999999</v>
      </c>
      <c r="AJ85" s="202" t="s">
        <v>38</v>
      </c>
      <c r="AK85" s="203" t="s">
        <v>28</v>
      </c>
    </row>
    <row r="86" spans="2:37" ht="17" x14ac:dyDescent="0.2">
      <c r="B86" s="194">
        <v>52</v>
      </c>
      <c r="C86" s="195">
        <v>8</v>
      </c>
      <c r="D86" s="195" t="s">
        <v>2714</v>
      </c>
      <c r="E86" s="196" t="s">
        <v>1895</v>
      </c>
      <c r="F86" s="194" t="s">
        <v>259</v>
      </c>
      <c r="G86" s="195">
        <v>129561216</v>
      </c>
      <c r="H86" s="195" t="s">
        <v>260</v>
      </c>
      <c r="I86" s="195" t="s">
        <v>20</v>
      </c>
      <c r="J86" s="195" t="s">
        <v>261</v>
      </c>
      <c r="K86" s="197">
        <v>0.91989108667123598</v>
      </c>
      <c r="L86" s="197">
        <v>1.4200000000000001E-2</v>
      </c>
      <c r="M86" s="217">
        <v>3.7749999999999999E-9</v>
      </c>
      <c r="N86" s="391">
        <v>0</v>
      </c>
      <c r="O86" s="201">
        <v>0.83030000000000004</v>
      </c>
      <c r="P86" s="194" t="s">
        <v>22</v>
      </c>
      <c r="Q86" s="195" t="s">
        <v>23</v>
      </c>
      <c r="R86" s="195" t="s">
        <v>23</v>
      </c>
      <c r="S86" s="195" t="s">
        <v>23</v>
      </c>
      <c r="T86" s="195" t="s">
        <v>23</v>
      </c>
      <c r="U86" s="197" t="s">
        <v>23</v>
      </c>
      <c r="V86" s="197" t="s">
        <v>23</v>
      </c>
      <c r="W86" s="217" t="s">
        <v>23</v>
      </c>
      <c r="X86" s="391" t="s">
        <v>23</v>
      </c>
      <c r="Y86" s="201" t="s">
        <v>23</v>
      </c>
      <c r="Z86" s="199">
        <v>1</v>
      </c>
      <c r="AA86" s="194" t="s">
        <v>259</v>
      </c>
      <c r="AB86" s="195">
        <v>129561216</v>
      </c>
      <c r="AC86" s="195" t="s">
        <v>260</v>
      </c>
      <c r="AD86" s="197">
        <v>0.91989108667123598</v>
      </c>
      <c r="AE86" s="197">
        <v>1.42025E-2</v>
      </c>
      <c r="AF86" s="198">
        <v>4.1210299999999998E-9</v>
      </c>
      <c r="AG86" s="200">
        <v>59</v>
      </c>
      <c r="AH86" s="217" t="s">
        <v>262</v>
      </c>
      <c r="AI86" s="201">
        <v>4.5563839000000002E-2</v>
      </c>
      <c r="AJ86" s="202" t="s">
        <v>38</v>
      </c>
      <c r="AK86" s="203" t="s">
        <v>28</v>
      </c>
    </row>
    <row r="87" spans="2:37" ht="17" x14ac:dyDescent="0.2">
      <c r="B87" s="86">
        <v>53</v>
      </c>
      <c r="C87" s="87">
        <v>9</v>
      </c>
      <c r="D87" s="87" t="s">
        <v>2715</v>
      </c>
      <c r="E87" s="89" t="s">
        <v>1622</v>
      </c>
      <c r="F87" s="86" t="s">
        <v>263</v>
      </c>
      <c r="G87" s="87">
        <v>32523737</v>
      </c>
      <c r="H87" s="87" t="s">
        <v>19</v>
      </c>
      <c r="I87" s="87" t="s">
        <v>20</v>
      </c>
      <c r="J87" s="87" t="s">
        <v>237</v>
      </c>
      <c r="K87" s="88">
        <v>1.1026319459013401</v>
      </c>
      <c r="L87" s="88">
        <v>9.2999999999999992E-3</v>
      </c>
      <c r="M87" s="184">
        <v>1.021E-25</v>
      </c>
      <c r="N87" s="90">
        <v>58</v>
      </c>
      <c r="O87" s="185">
        <v>1.0939999999999999E-3</v>
      </c>
      <c r="P87" s="86" t="s">
        <v>22</v>
      </c>
      <c r="Q87" s="87" t="s">
        <v>23</v>
      </c>
      <c r="R87" s="87" t="s">
        <v>23</v>
      </c>
      <c r="S87" s="87" t="s">
        <v>23</v>
      </c>
      <c r="T87" s="87" t="s">
        <v>23</v>
      </c>
      <c r="U87" s="88" t="s">
        <v>23</v>
      </c>
      <c r="V87" s="88" t="s">
        <v>23</v>
      </c>
      <c r="W87" s="184" t="s">
        <v>23</v>
      </c>
      <c r="X87" s="90" t="s">
        <v>23</v>
      </c>
      <c r="Y87" s="185" t="s">
        <v>23</v>
      </c>
      <c r="Z87" s="182">
        <v>2</v>
      </c>
      <c r="AA87" s="86" t="s">
        <v>263</v>
      </c>
      <c r="AB87" s="87">
        <v>32523737</v>
      </c>
      <c r="AC87" s="87" t="s">
        <v>20</v>
      </c>
      <c r="AD87" s="88">
        <v>0.89550094697506799</v>
      </c>
      <c r="AE87" s="88">
        <v>9.5667100000000008E-3</v>
      </c>
      <c r="AF87" s="127">
        <v>8.5772199999999995E-31</v>
      </c>
      <c r="AG87" s="183">
        <v>1</v>
      </c>
      <c r="AH87" s="184" t="s">
        <v>264</v>
      </c>
      <c r="AI87" s="185">
        <v>0.99914461799999998</v>
      </c>
      <c r="AJ87" s="186" t="s">
        <v>265</v>
      </c>
      <c r="AK87" s="187" t="s">
        <v>28</v>
      </c>
    </row>
    <row r="88" spans="2:37" ht="17" x14ac:dyDescent="0.2">
      <c r="B88" s="75" t="s">
        <v>28</v>
      </c>
      <c r="C88" s="77" t="s">
        <v>28</v>
      </c>
      <c r="D88" s="77" t="s">
        <v>28</v>
      </c>
      <c r="E88" s="79" t="s">
        <v>28</v>
      </c>
      <c r="F88" s="75" t="s">
        <v>28</v>
      </c>
      <c r="G88" s="77" t="s">
        <v>28</v>
      </c>
      <c r="H88" s="77" t="s">
        <v>28</v>
      </c>
      <c r="I88" s="77" t="s">
        <v>28</v>
      </c>
      <c r="J88" s="77" t="s">
        <v>28</v>
      </c>
      <c r="K88" s="178" t="s">
        <v>28</v>
      </c>
      <c r="L88" s="178" t="s">
        <v>28</v>
      </c>
      <c r="M88" s="190" t="s">
        <v>28</v>
      </c>
      <c r="N88" s="114" t="s">
        <v>28</v>
      </c>
      <c r="O88" s="191" t="s">
        <v>28</v>
      </c>
      <c r="P88" s="75" t="s">
        <v>28</v>
      </c>
      <c r="Q88" s="77" t="s">
        <v>28</v>
      </c>
      <c r="R88" s="77" t="s">
        <v>28</v>
      </c>
      <c r="S88" s="77" t="s">
        <v>28</v>
      </c>
      <c r="T88" s="77" t="s">
        <v>28</v>
      </c>
      <c r="U88" s="178" t="s">
        <v>28</v>
      </c>
      <c r="V88" s="178" t="s">
        <v>28</v>
      </c>
      <c r="W88" s="190" t="s">
        <v>28</v>
      </c>
      <c r="X88" s="114" t="s">
        <v>28</v>
      </c>
      <c r="Y88" s="191" t="s">
        <v>28</v>
      </c>
      <c r="Z88" s="188" t="s">
        <v>28</v>
      </c>
      <c r="AA88" s="75" t="s">
        <v>266</v>
      </c>
      <c r="AB88" s="77">
        <v>32451144</v>
      </c>
      <c r="AC88" s="77" t="s">
        <v>25</v>
      </c>
      <c r="AD88" s="178">
        <v>1.0578761858699399</v>
      </c>
      <c r="AE88" s="178">
        <v>9.8706000000000002E-3</v>
      </c>
      <c r="AF88" s="129">
        <v>1.19748E-8</v>
      </c>
      <c r="AG88" s="189">
        <v>48</v>
      </c>
      <c r="AH88" s="190" t="s">
        <v>267</v>
      </c>
      <c r="AI88" s="191">
        <v>0.21516509</v>
      </c>
      <c r="AJ88" s="192" t="s">
        <v>28</v>
      </c>
      <c r="AK88" s="193" t="s">
        <v>28</v>
      </c>
    </row>
    <row r="89" spans="2:37" ht="17" x14ac:dyDescent="0.2">
      <c r="B89" s="86">
        <v>54</v>
      </c>
      <c r="C89" s="87">
        <v>9</v>
      </c>
      <c r="D89" s="87" t="s">
        <v>2716</v>
      </c>
      <c r="E89" s="89" t="s">
        <v>1896</v>
      </c>
      <c r="F89" s="86" t="s">
        <v>268</v>
      </c>
      <c r="G89" s="87">
        <v>110772665</v>
      </c>
      <c r="H89" s="87" t="s">
        <v>19</v>
      </c>
      <c r="I89" s="87" t="s">
        <v>20</v>
      </c>
      <c r="J89" s="87" t="s">
        <v>122</v>
      </c>
      <c r="K89" s="88">
        <v>1.0756229692394901</v>
      </c>
      <c r="L89" s="88">
        <v>9.2999999999999992E-3</v>
      </c>
      <c r="M89" s="184">
        <v>6.0440000000000004E-15</v>
      </c>
      <c r="N89" s="90">
        <v>27.1</v>
      </c>
      <c r="O89" s="185">
        <v>0.13950000000000001</v>
      </c>
      <c r="P89" s="86" t="s">
        <v>22</v>
      </c>
      <c r="Q89" s="87" t="s">
        <v>23</v>
      </c>
      <c r="R89" s="87" t="s">
        <v>23</v>
      </c>
      <c r="S89" s="87" t="s">
        <v>23</v>
      </c>
      <c r="T89" s="87" t="s">
        <v>23</v>
      </c>
      <c r="U89" s="88" t="s">
        <v>23</v>
      </c>
      <c r="V89" s="88" t="s">
        <v>23</v>
      </c>
      <c r="W89" s="184" t="s">
        <v>23</v>
      </c>
      <c r="X89" s="90" t="s">
        <v>23</v>
      </c>
      <c r="Y89" s="185" t="s">
        <v>23</v>
      </c>
      <c r="Z89" s="182">
        <v>3</v>
      </c>
      <c r="AA89" s="86" t="s">
        <v>268</v>
      </c>
      <c r="AB89" s="87">
        <v>110772665</v>
      </c>
      <c r="AC89" s="87" t="s">
        <v>20</v>
      </c>
      <c r="AD89" s="88">
        <v>0.92326885780415502</v>
      </c>
      <c r="AE89" s="88">
        <v>9.4501399999999992E-3</v>
      </c>
      <c r="AF89" s="127">
        <v>2.9633000000000002E-17</v>
      </c>
      <c r="AG89" s="183">
        <v>59</v>
      </c>
      <c r="AH89" s="184" t="s">
        <v>269</v>
      </c>
      <c r="AI89" s="185">
        <v>0.127935307</v>
      </c>
      <c r="AJ89" s="186" t="s">
        <v>270</v>
      </c>
      <c r="AK89" s="187" t="s">
        <v>28</v>
      </c>
    </row>
    <row r="90" spans="2:37" ht="17" x14ac:dyDescent="0.2">
      <c r="B90" s="66" t="s">
        <v>28</v>
      </c>
      <c r="C90" s="67" t="s">
        <v>28</v>
      </c>
      <c r="D90" s="67" t="s">
        <v>28</v>
      </c>
      <c r="E90" s="69" t="s">
        <v>28</v>
      </c>
      <c r="F90" s="66" t="s">
        <v>28</v>
      </c>
      <c r="G90" s="67" t="s">
        <v>28</v>
      </c>
      <c r="H90" s="67" t="s">
        <v>28</v>
      </c>
      <c r="I90" s="67" t="s">
        <v>28</v>
      </c>
      <c r="J90" s="67" t="s">
        <v>28</v>
      </c>
      <c r="K90" s="68" t="s">
        <v>28</v>
      </c>
      <c r="L90" s="68" t="s">
        <v>28</v>
      </c>
      <c r="M90" s="213" t="s">
        <v>28</v>
      </c>
      <c r="N90" s="80" t="s">
        <v>28</v>
      </c>
      <c r="O90" s="214" t="s">
        <v>28</v>
      </c>
      <c r="P90" s="66" t="s">
        <v>28</v>
      </c>
      <c r="Q90" s="67" t="s">
        <v>28</v>
      </c>
      <c r="R90" s="67" t="s">
        <v>28</v>
      </c>
      <c r="S90" s="67" t="s">
        <v>28</v>
      </c>
      <c r="T90" s="67" t="s">
        <v>28</v>
      </c>
      <c r="U90" s="68" t="s">
        <v>28</v>
      </c>
      <c r="V90" s="68" t="s">
        <v>28</v>
      </c>
      <c r="W90" s="213" t="s">
        <v>28</v>
      </c>
      <c r="X90" s="80" t="s">
        <v>28</v>
      </c>
      <c r="Y90" s="214" t="s">
        <v>28</v>
      </c>
      <c r="Z90" s="211" t="s">
        <v>28</v>
      </c>
      <c r="AA90" s="66" t="s">
        <v>271</v>
      </c>
      <c r="AB90" s="67">
        <v>110860513</v>
      </c>
      <c r="AC90" s="67" t="s">
        <v>20</v>
      </c>
      <c r="AD90" s="68">
        <v>1.1362336761707801</v>
      </c>
      <c r="AE90" s="68">
        <v>1.8972300000000001E-2</v>
      </c>
      <c r="AF90" s="128">
        <v>1.6748099999999999E-11</v>
      </c>
      <c r="AG90" s="212">
        <v>16</v>
      </c>
      <c r="AH90" s="213" t="s">
        <v>272</v>
      </c>
      <c r="AI90" s="214">
        <v>0.14745978000000001</v>
      </c>
      <c r="AJ90" s="215" t="s">
        <v>28</v>
      </c>
      <c r="AK90" s="216" t="s">
        <v>28</v>
      </c>
    </row>
    <row r="91" spans="2:37" ht="17" x14ac:dyDescent="0.2">
      <c r="B91" s="75" t="s">
        <v>28</v>
      </c>
      <c r="C91" s="77" t="s">
        <v>28</v>
      </c>
      <c r="D91" s="77" t="s">
        <v>28</v>
      </c>
      <c r="E91" s="79" t="s">
        <v>28</v>
      </c>
      <c r="F91" s="75" t="s">
        <v>28</v>
      </c>
      <c r="G91" s="77" t="s">
        <v>28</v>
      </c>
      <c r="H91" s="77" t="s">
        <v>28</v>
      </c>
      <c r="I91" s="77" t="s">
        <v>28</v>
      </c>
      <c r="J91" s="77" t="s">
        <v>28</v>
      </c>
      <c r="K91" s="178" t="s">
        <v>28</v>
      </c>
      <c r="L91" s="178" t="s">
        <v>28</v>
      </c>
      <c r="M91" s="190" t="s">
        <v>28</v>
      </c>
      <c r="N91" s="114" t="s">
        <v>28</v>
      </c>
      <c r="O91" s="191" t="s">
        <v>28</v>
      </c>
      <c r="P91" s="75" t="s">
        <v>28</v>
      </c>
      <c r="Q91" s="77" t="s">
        <v>28</v>
      </c>
      <c r="R91" s="77" t="s">
        <v>28</v>
      </c>
      <c r="S91" s="77" t="s">
        <v>28</v>
      </c>
      <c r="T91" s="77" t="s">
        <v>28</v>
      </c>
      <c r="U91" s="178" t="s">
        <v>28</v>
      </c>
      <c r="V91" s="178" t="s">
        <v>28</v>
      </c>
      <c r="W91" s="190" t="s">
        <v>28</v>
      </c>
      <c r="X91" s="114" t="s">
        <v>28</v>
      </c>
      <c r="Y91" s="191" t="s">
        <v>28</v>
      </c>
      <c r="Z91" s="188" t="s">
        <v>28</v>
      </c>
      <c r="AA91" s="75" t="s">
        <v>273</v>
      </c>
      <c r="AB91" s="77">
        <v>110735163</v>
      </c>
      <c r="AC91" s="77" t="s">
        <v>20</v>
      </c>
      <c r="AD91" s="178">
        <v>1.0671080154019501</v>
      </c>
      <c r="AE91" s="178">
        <v>1.0226799999999999E-2</v>
      </c>
      <c r="AF91" s="129">
        <v>2.1365399999999999E-10</v>
      </c>
      <c r="AG91" s="189">
        <v>20</v>
      </c>
      <c r="AH91" s="190" t="s">
        <v>274</v>
      </c>
      <c r="AI91" s="191">
        <v>0.21375513700000001</v>
      </c>
      <c r="AJ91" s="192" t="s">
        <v>28</v>
      </c>
      <c r="AK91" s="193" t="s">
        <v>28</v>
      </c>
    </row>
    <row r="92" spans="2:37" ht="17" x14ac:dyDescent="0.2">
      <c r="B92" s="130">
        <v>55</v>
      </c>
      <c r="C92" s="131">
        <v>9</v>
      </c>
      <c r="D92" s="131" t="s">
        <v>2717</v>
      </c>
      <c r="E92" s="132" t="s">
        <v>1897</v>
      </c>
      <c r="F92" s="130" t="s">
        <v>275</v>
      </c>
      <c r="G92" s="131">
        <v>117570223</v>
      </c>
      <c r="H92" s="131" t="s">
        <v>19</v>
      </c>
      <c r="I92" s="131" t="s">
        <v>25</v>
      </c>
      <c r="J92" s="131" t="s">
        <v>276</v>
      </c>
      <c r="K92" s="204">
        <v>0.94724263902787698</v>
      </c>
      <c r="L92" s="204">
        <v>9.1000000000000004E-3</v>
      </c>
      <c r="M92" s="207">
        <v>2.427E-9</v>
      </c>
      <c r="N92" s="392">
        <v>3.3</v>
      </c>
      <c r="O92" s="208">
        <v>0.4163</v>
      </c>
      <c r="P92" s="130" t="s">
        <v>22</v>
      </c>
      <c r="Q92" s="131" t="s">
        <v>23</v>
      </c>
      <c r="R92" s="131" t="s">
        <v>23</v>
      </c>
      <c r="S92" s="131" t="s">
        <v>23</v>
      </c>
      <c r="T92" s="131" t="s">
        <v>23</v>
      </c>
      <c r="U92" s="204" t="s">
        <v>23</v>
      </c>
      <c r="V92" s="204" t="s">
        <v>23</v>
      </c>
      <c r="W92" s="207" t="s">
        <v>23</v>
      </c>
      <c r="X92" s="392" t="s">
        <v>23</v>
      </c>
      <c r="Y92" s="208" t="s">
        <v>23</v>
      </c>
      <c r="Z92" s="205">
        <v>1</v>
      </c>
      <c r="AA92" s="130" t="s">
        <v>275</v>
      </c>
      <c r="AB92" s="131">
        <v>117570223</v>
      </c>
      <c r="AC92" s="131" t="s">
        <v>25</v>
      </c>
      <c r="AD92" s="204">
        <v>1.05569572018661</v>
      </c>
      <c r="AE92" s="204">
        <v>9.1014900000000003E-3</v>
      </c>
      <c r="AF92" s="133">
        <v>2.5996399999999999E-9</v>
      </c>
      <c r="AG92" s="206">
        <v>19</v>
      </c>
      <c r="AH92" s="207" t="s">
        <v>277</v>
      </c>
      <c r="AI92" s="208">
        <v>0.20149423899999999</v>
      </c>
      <c r="AJ92" s="209" t="s">
        <v>278</v>
      </c>
      <c r="AK92" s="210" t="s">
        <v>28</v>
      </c>
    </row>
    <row r="93" spans="2:37" ht="17" x14ac:dyDescent="0.2">
      <c r="B93" s="194">
        <v>56</v>
      </c>
      <c r="C93" s="195">
        <v>10</v>
      </c>
      <c r="D93" s="195" t="s">
        <v>2718</v>
      </c>
      <c r="E93" s="196" t="s">
        <v>1898</v>
      </c>
      <c r="F93" s="194" t="s">
        <v>279</v>
      </c>
      <c r="G93" s="195">
        <v>6094697</v>
      </c>
      <c r="H93" s="195" t="s">
        <v>19</v>
      </c>
      <c r="I93" s="195" t="s">
        <v>20</v>
      </c>
      <c r="J93" s="195" t="s">
        <v>280</v>
      </c>
      <c r="K93" s="197">
        <v>1.1171714502195</v>
      </c>
      <c r="L93" s="197">
        <v>1.6E-2</v>
      </c>
      <c r="M93" s="217">
        <v>4.8419999999999998E-12</v>
      </c>
      <c r="N93" s="391">
        <v>2.2999999999999998</v>
      </c>
      <c r="O93" s="201">
        <v>0.42809999999999998</v>
      </c>
      <c r="P93" s="194" t="s">
        <v>22</v>
      </c>
      <c r="Q93" s="195" t="s">
        <v>23</v>
      </c>
      <c r="R93" s="195" t="s">
        <v>23</v>
      </c>
      <c r="S93" s="195" t="s">
        <v>23</v>
      </c>
      <c r="T93" s="195" t="s">
        <v>23</v>
      </c>
      <c r="U93" s="197" t="s">
        <v>23</v>
      </c>
      <c r="V93" s="197" t="s">
        <v>23</v>
      </c>
      <c r="W93" s="217" t="s">
        <v>23</v>
      </c>
      <c r="X93" s="391" t="s">
        <v>23</v>
      </c>
      <c r="Y93" s="201" t="s">
        <v>23</v>
      </c>
      <c r="Z93" s="199">
        <v>1</v>
      </c>
      <c r="AA93" s="194" t="s">
        <v>279</v>
      </c>
      <c r="AB93" s="195">
        <v>6094697</v>
      </c>
      <c r="AC93" s="195" t="s">
        <v>19</v>
      </c>
      <c r="AD93" s="197">
        <v>1.1171714502195</v>
      </c>
      <c r="AE93" s="197">
        <v>1.6004000000000001E-2</v>
      </c>
      <c r="AF93" s="198">
        <v>4.4129199999999997E-12</v>
      </c>
      <c r="AG93" s="200">
        <v>11</v>
      </c>
      <c r="AH93" s="217" t="s">
        <v>281</v>
      </c>
      <c r="AI93" s="201">
        <v>0.73858813499999998</v>
      </c>
      <c r="AJ93" s="202" t="s">
        <v>38</v>
      </c>
      <c r="AK93" s="203" t="s">
        <v>28</v>
      </c>
    </row>
    <row r="94" spans="2:37" ht="17" x14ac:dyDescent="0.2">
      <c r="B94" s="194">
        <v>57</v>
      </c>
      <c r="C94" s="195">
        <v>10</v>
      </c>
      <c r="D94" s="195" t="s">
        <v>2719</v>
      </c>
      <c r="E94" s="196" t="s">
        <v>1899</v>
      </c>
      <c r="F94" s="194" t="s">
        <v>282</v>
      </c>
      <c r="G94" s="195">
        <v>6520458</v>
      </c>
      <c r="H94" s="195" t="s">
        <v>40</v>
      </c>
      <c r="I94" s="195" t="s">
        <v>25</v>
      </c>
      <c r="J94" s="195" t="s">
        <v>51</v>
      </c>
      <c r="K94" s="197">
        <v>1.0571747292596501</v>
      </c>
      <c r="L94" s="197">
        <v>9.9000000000000008E-3</v>
      </c>
      <c r="M94" s="217">
        <v>1.9980000000000001E-8</v>
      </c>
      <c r="N94" s="391">
        <v>0</v>
      </c>
      <c r="O94" s="201">
        <v>0.83009999999999995</v>
      </c>
      <c r="P94" s="194" t="s">
        <v>22</v>
      </c>
      <c r="Q94" s="195" t="s">
        <v>23</v>
      </c>
      <c r="R94" s="195" t="s">
        <v>23</v>
      </c>
      <c r="S94" s="195" t="s">
        <v>23</v>
      </c>
      <c r="T94" s="195" t="s">
        <v>23</v>
      </c>
      <c r="U94" s="197" t="s">
        <v>23</v>
      </c>
      <c r="V94" s="197" t="s">
        <v>23</v>
      </c>
      <c r="W94" s="217" t="s">
        <v>23</v>
      </c>
      <c r="X94" s="391" t="s">
        <v>23</v>
      </c>
      <c r="Y94" s="201" t="s">
        <v>23</v>
      </c>
      <c r="Z94" s="199">
        <v>1</v>
      </c>
      <c r="AA94" s="194" t="s">
        <v>282</v>
      </c>
      <c r="AB94" s="195">
        <v>6520458</v>
      </c>
      <c r="AC94" s="195" t="s">
        <v>25</v>
      </c>
      <c r="AD94" s="197">
        <v>0.94591742719797001</v>
      </c>
      <c r="AE94" s="197">
        <v>9.9014499999999991E-3</v>
      </c>
      <c r="AF94" s="198">
        <v>1.9617599999999999E-8</v>
      </c>
      <c r="AG94" s="200">
        <v>6</v>
      </c>
      <c r="AH94" s="217" t="s">
        <v>283</v>
      </c>
      <c r="AI94" s="201">
        <v>0.31573857900000002</v>
      </c>
      <c r="AJ94" s="202" t="s">
        <v>38</v>
      </c>
      <c r="AK94" s="203" t="s">
        <v>28</v>
      </c>
    </row>
    <row r="95" spans="2:37" ht="17" x14ac:dyDescent="0.2">
      <c r="B95" s="130">
        <v>58</v>
      </c>
      <c r="C95" s="131">
        <v>10</v>
      </c>
      <c r="D95" s="131" t="s">
        <v>2720</v>
      </c>
      <c r="E95" s="132" t="s">
        <v>1900</v>
      </c>
      <c r="F95" s="130" t="s">
        <v>284</v>
      </c>
      <c r="G95" s="131">
        <v>64369999</v>
      </c>
      <c r="H95" s="131" t="s">
        <v>20</v>
      </c>
      <c r="I95" s="131" t="s">
        <v>25</v>
      </c>
      <c r="J95" s="131" t="s">
        <v>285</v>
      </c>
      <c r="K95" s="204">
        <v>0.94497198257187198</v>
      </c>
      <c r="L95" s="204">
        <v>9.4000000000000004E-3</v>
      </c>
      <c r="M95" s="207">
        <v>1.8690000000000001E-9</v>
      </c>
      <c r="N95" s="392">
        <v>28.2</v>
      </c>
      <c r="O95" s="208">
        <v>0.12820000000000001</v>
      </c>
      <c r="P95" s="130" t="s">
        <v>22</v>
      </c>
      <c r="Q95" s="131" t="s">
        <v>23</v>
      </c>
      <c r="R95" s="131" t="s">
        <v>23</v>
      </c>
      <c r="S95" s="131" t="s">
        <v>23</v>
      </c>
      <c r="T95" s="131" t="s">
        <v>23</v>
      </c>
      <c r="U95" s="204" t="s">
        <v>23</v>
      </c>
      <c r="V95" s="204" t="s">
        <v>23</v>
      </c>
      <c r="W95" s="207" t="s">
        <v>23</v>
      </c>
      <c r="X95" s="392" t="s">
        <v>23</v>
      </c>
      <c r="Y95" s="208" t="s">
        <v>23</v>
      </c>
      <c r="Z95" s="205">
        <v>1</v>
      </c>
      <c r="AA95" s="130" t="s">
        <v>284</v>
      </c>
      <c r="AB95" s="131">
        <v>64369999</v>
      </c>
      <c r="AC95" s="131" t="s">
        <v>25</v>
      </c>
      <c r="AD95" s="204">
        <v>1.0582324327525201</v>
      </c>
      <c r="AE95" s="204">
        <v>9.4016199999999994E-3</v>
      </c>
      <c r="AF95" s="133">
        <v>1.74157E-9</v>
      </c>
      <c r="AG95" s="206">
        <v>8</v>
      </c>
      <c r="AH95" s="207" t="s">
        <v>286</v>
      </c>
      <c r="AI95" s="208">
        <v>0.183526729</v>
      </c>
      <c r="AJ95" s="209" t="s">
        <v>287</v>
      </c>
      <c r="AK95" s="210" t="s">
        <v>28</v>
      </c>
    </row>
    <row r="96" spans="2:37" ht="17" x14ac:dyDescent="0.2">
      <c r="B96" s="130">
        <v>59</v>
      </c>
      <c r="C96" s="131">
        <v>10</v>
      </c>
      <c r="D96" s="131" t="s">
        <v>2721</v>
      </c>
      <c r="E96" s="132" t="s">
        <v>1901</v>
      </c>
      <c r="F96" s="130" t="s">
        <v>288</v>
      </c>
      <c r="G96" s="131">
        <v>75617344</v>
      </c>
      <c r="H96" s="131" t="s">
        <v>40</v>
      </c>
      <c r="I96" s="131" t="s">
        <v>19</v>
      </c>
      <c r="J96" s="131" t="s">
        <v>59</v>
      </c>
      <c r="K96" s="204">
        <v>0.91310901723559601</v>
      </c>
      <c r="L96" s="204">
        <v>9.1999999999999998E-3</v>
      </c>
      <c r="M96" s="207">
        <v>3.1879999999999999E-23</v>
      </c>
      <c r="N96" s="392">
        <v>0</v>
      </c>
      <c r="O96" s="208">
        <v>0.59970000000000001</v>
      </c>
      <c r="P96" s="130" t="s">
        <v>22</v>
      </c>
      <c r="Q96" s="131" t="s">
        <v>23</v>
      </c>
      <c r="R96" s="131" t="s">
        <v>23</v>
      </c>
      <c r="S96" s="131" t="s">
        <v>23</v>
      </c>
      <c r="T96" s="131" t="s">
        <v>23</v>
      </c>
      <c r="U96" s="204" t="s">
        <v>23</v>
      </c>
      <c r="V96" s="204" t="s">
        <v>23</v>
      </c>
      <c r="W96" s="207" t="s">
        <v>23</v>
      </c>
      <c r="X96" s="392" t="s">
        <v>23</v>
      </c>
      <c r="Y96" s="208" t="s">
        <v>23</v>
      </c>
      <c r="Z96" s="205">
        <v>1</v>
      </c>
      <c r="AA96" s="130" t="s">
        <v>289</v>
      </c>
      <c r="AB96" s="131">
        <v>75601596</v>
      </c>
      <c r="AC96" s="131" t="s">
        <v>19</v>
      </c>
      <c r="AD96" s="204">
        <v>0.91310901723559601</v>
      </c>
      <c r="AE96" s="204">
        <v>9.2042500000000006E-3</v>
      </c>
      <c r="AF96" s="133">
        <v>5.2970400000000004E-23</v>
      </c>
      <c r="AG96" s="206">
        <v>11</v>
      </c>
      <c r="AH96" s="207" t="s">
        <v>290</v>
      </c>
      <c r="AI96" s="208">
        <v>0.117885264</v>
      </c>
      <c r="AJ96" s="209" t="s">
        <v>291</v>
      </c>
      <c r="AK96" s="210" t="s">
        <v>28</v>
      </c>
    </row>
    <row r="97" spans="2:37" ht="17" x14ac:dyDescent="0.2">
      <c r="B97" s="130">
        <v>60</v>
      </c>
      <c r="C97" s="131">
        <v>10</v>
      </c>
      <c r="D97" s="131" t="s">
        <v>2722</v>
      </c>
      <c r="E97" s="132" t="s">
        <v>1902</v>
      </c>
      <c r="F97" s="130" t="s">
        <v>292</v>
      </c>
      <c r="G97" s="131">
        <v>81032532</v>
      </c>
      <c r="H97" s="131" t="s">
        <v>40</v>
      </c>
      <c r="I97" s="131" t="s">
        <v>25</v>
      </c>
      <c r="J97" s="131" t="s">
        <v>293</v>
      </c>
      <c r="K97" s="204">
        <v>1.0959263638494801</v>
      </c>
      <c r="L97" s="204">
        <v>9.1999999999999998E-3</v>
      </c>
      <c r="M97" s="207">
        <v>3.7469999999999999E-23</v>
      </c>
      <c r="N97" s="392">
        <v>15.5</v>
      </c>
      <c r="O97" s="208">
        <v>0.26790000000000003</v>
      </c>
      <c r="P97" s="130" t="s">
        <v>22</v>
      </c>
      <c r="Q97" s="131" t="s">
        <v>23</v>
      </c>
      <c r="R97" s="131" t="s">
        <v>23</v>
      </c>
      <c r="S97" s="131" t="s">
        <v>23</v>
      </c>
      <c r="T97" s="131" t="s">
        <v>23</v>
      </c>
      <c r="U97" s="204" t="s">
        <v>23</v>
      </c>
      <c r="V97" s="204" t="s">
        <v>23</v>
      </c>
      <c r="W97" s="207" t="s">
        <v>23</v>
      </c>
      <c r="X97" s="392" t="s">
        <v>23</v>
      </c>
      <c r="Y97" s="208" t="s">
        <v>23</v>
      </c>
      <c r="Z97" s="205">
        <v>1</v>
      </c>
      <c r="AA97" s="130" t="s">
        <v>292</v>
      </c>
      <c r="AB97" s="131">
        <v>81032532</v>
      </c>
      <c r="AC97" s="131" t="s">
        <v>25</v>
      </c>
      <c r="AD97" s="204">
        <v>0.91247006458305002</v>
      </c>
      <c r="AE97" s="204">
        <v>9.2042500000000006E-3</v>
      </c>
      <c r="AF97" s="133">
        <v>2.4735800000000001E-23</v>
      </c>
      <c r="AG97" s="206">
        <v>5</v>
      </c>
      <c r="AH97" s="207" t="s">
        <v>294</v>
      </c>
      <c r="AI97" s="208">
        <v>0.74740295499999998</v>
      </c>
      <c r="AJ97" s="209" t="s">
        <v>295</v>
      </c>
      <c r="AK97" s="210" t="s">
        <v>28</v>
      </c>
    </row>
    <row r="98" spans="2:37" ht="17" x14ac:dyDescent="0.2">
      <c r="B98" s="130">
        <v>61</v>
      </c>
      <c r="C98" s="131">
        <v>10</v>
      </c>
      <c r="D98" s="131" t="s">
        <v>2723</v>
      </c>
      <c r="E98" s="132" t="s">
        <v>1903</v>
      </c>
      <c r="F98" s="130" t="s">
        <v>296</v>
      </c>
      <c r="G98" s="131">
        <v>89637201</v>
      </c>
      <c r="H98" s="131" t="s">
        <v>40</v>
      </c>
      <c r="I98" s="131" t="s">
        <v>19</v>
      </c>
      <c r="J98" s="131" t="s">
        <v>297</v>
      </c>
      <c r="K98" s="204">
        <v>1.2081617626185599</v>
      </c>
      <c r="L98" s="204">
        <v>3.2899999999999999E-2</v>
      </c>
      <c r="M98" s="207">
        <v>9.39E-9</v>
      </c>
      <c r="N98" s="392">
        <v>0.4</v>
      </c>
      <c r="O98" s="208">
        <v>0.44929999999999998</v>
      </c>
      <c r="P98" s="130" t="s">
        <v>22</v>
      </c>
      <c r="Q98" s="131" t="s">
        <v>23</v>
      </c>
      <c r="R98" s="131" t="s">
        <v>23</v>
      </c>
      <c r="S98" s="131" t="s">
        <v>23</v>
      </c>
      <c r="T98" s="131" t="s">
        <v>23</v>
      </c>
      <c r="U98" s="204" t="s">
        <v>23</v>
      </c>
      <c r="V98" s="204" t="s">
        <v>23</v>
      </c>
      <c r="W98" s="207" t="s">
        <v>23</v>
      </c>
      <c r="X98" s="392" t="s">
        <v>23</v>
      </c>
      <c r="Y98" s="208" t="s">
        <v>23</v>
      </c>
      <c r="Z98" s="205">
        <v>1</v>
      </c>
      <c r="AA98" s="130" t="s">
        <v>296</v>
      </c>
      <c r="AB98" s="131">
        <v>89637201</v>
      </c>
      <c r="AC98" s="131" t="s">
        <v>40</v>
      </c>
      <c r="AD98" s="204">
        <v>1.2081617626185599</v>
      </c>
      <c r="AE98" s="204">
        <v>3.29056E-2</v>
      </c>
      <c r="AF98" s="133">
        <v>9.0975400000000004E-9</v>
      </c>
      <c r="AG98" s="206">
        <v>7</v>
      </c>
      <c r="AH98" s="207" t="s">
        <v>298</v>
      </c>
      <c r="AI98" s="208">
        <v>0.75923436099999997</v>
      </c>
      <c r="AJ98" s="209" t="s">
        <v>299</v>
      </c>
      <c r="AK98" s="210" t="s">
        <v>28</v>
      </c>
    </row>
    <row r="99" spans="2:37" ht="17" x14ac:dyDescent="0.2">
      <c r="B99" s="194">
        <v>62</v>
      </c>
      <c r="C99" s="195">
        <v>10</v>
      </c>
      <c r="D99" s="195" t="s">
        <v>2724</v>
      </c>
      <c r="E99" s="196" t="s">
        <v>1904</v>
      </c>
      <c r="F99" s="194" t="s">
        <v>300</v>
      </c>
      <c r="G99" s="195">
        <v>94429708</v>
      </c>
      <c r="H99" s="195" t="s">
        <v>19</v>
      </c>
      <c r="I99" s="195" t="s">
        <v>25</v>
      </c>
      <c r="J99" s="195" t="s">
        <v>301</v>
      </c>
      <c r="K99" s="197">
        <v>1.0608813235682899</v>
      </c>
      <c r="L99" s="197">
        <v>1.04E-2</v>
      </c>
      <c r="M99" s="217">
        <v>1.1819999999999999E-8</v>
      </c>
      <c r="N99" s="391">
        <v>0</v>
      </c>
      <c r="O99" s="201">
        <v>0.64980000000000004</v>
      </c>
      <c r="P99" s="194" t="s">
        <v>302</v>
      </c>
      <c r="Q99" s="195">
        <v>94450233</v>
      </c>
      <c r="R99" s="195" t="s">
        <v>19</v>
      </c>
      <c r="S99" s="195" t="s">
        <v>25</v>
      </c>
      <c r="T99" s="195" t="s">
        <v>303</v>
      </c>
      <c r="U99" s="197">
        <v>0.95485097289784204</v>
      </c>
      <c r="V99" s="197">
        <v>9.1999999999999998E-3</v>
      </c>
      <c r="W99" s="217">
        <v>4.8869999999999998E-7</v>
      </c>
      <c r="X99" s="391">
        <v>27.5</v>
      </c>
      <c r="Y99" s="201">
        <v>0.1353</v>
      </c>
      <c r="Z99" s="199">
        <v>1</v>
      </c>
      <c r="AA99" s="194" t="s">
        <v>23</v>
      </c>
      <c r="AB99" s="195" t="s">
        <v>23</v>
      </c>
      <c r="AC99" s="195" t="s">
        <v>23</v>
      </c>
      <c r="AD99" s="197" t="s">
        <v>23</v>
      </c>
      <c r="AE99" s="197" t="s">
        <v>23</v>
      </c>
      <c r="AF99" s="196" t="s">
        <v>23</v>
      </c>
      <c r="AG99" s="200" t="s">
        <v>23</v>
      </c>
      <c r="AH99" s="195" t="s">
        <v>23</v>
      </c>
      <c r="AI99" s="201" t="s">
        <v>23</v>
      </c>
      <c r="AJ99" s="202" t="s">
        <v>38</v>
      </c>
      <c r="AK99" s="203" t="s">
        <v>28</v>
      </c>
    </row>
    <row r="100" spans="2:37" ht="17" x14ac:dyDescent="0.2">
      <c r="B100" s="130">
        <v>63</v>
      </c>
      <c r="C100" s="131">
        <v>10</v>
      </c>
      <c r="D100" s="131" t="s">
        <v>2725</v>
      </c>
      <c r="E100" s="132" t="s">
        <v>1905</v>
      </c>
      <c r="F100" s="130" t="s">
        <v>304</v>
      </c>
      <c r="G100" s="131">
        <v>101904344</v>
      </c>
      <c r="H100" s="131" t="s">
        <v>40</v>
      </c>
      <c r="I100" s="131" t="s">
        <v>25</v>
      </c>
      <c r="J100" s="131" t="s">
        <v>305</v>
      </c>
      <c r="K100" s="204">
        <v>0.92885744675472803</v>
      </c>
      <c r="L100" s="204">
        <v>9.2999999999999992E-3</v>
      </c>
      <c r="M100" s="207">
        <v>2.3809999999999998E-15</v>
      </c>
      <c r="N100" s="392">
        <v>50.2</v>
      </c>
      <c r="O100" s="208">
        <v>8.0370000000000007E-3</v>
      </c>
      <c r="P100" s="130" t="s">
        <v>22</v>
      </c>
      <c r="Q100" s="131" t="s">
        <v>23</v>
      </c>
      <c r="R100" s="131" t="s">
        <v>23</v>
      </c>
      <c r="S100" s="131" t="s">
        <v>23</v>
      </c>
      <c r="T100" s="131" t="s">
        <v>23</v>
      </c>
      <c r="U100" s="204" t="s">
        <v>23</v>
      </c>
      <c r="V100" s="204" t="s">
        <v>23</v>
      </c>
      <c r="W100" s="207" t="s">
        <v>23</v>
      </c>
      <c r="X100" s="392" t="s">
        <v>23</v>
      </c>
      <c r="Y100" s="208" t="s">
        <v>23</v>
      </c>
      <c r="Z100" s="205">
        <v>1</v>
      </c>
      <c r="AA100" s="130" t="s">
        <v>304</v>
      </c>
      <c r="AB100" s="131">
        <v>101904344</v>
      </c>
      <c r="AC100" s="131" t="s">
        <v>40</v>
      </c>
      <c r="AD100" s="204">
        <v>0.92885744675472803</v>
      </c>
      <c r="AE100" s="204">
        <v>9.3027700000000001E-3</v>
      </c>
      <c r="AF100" s="133">
        <v>2.1370499999999999E-15</v>
      </c>
      <c r="AG100" s="206">
        <v>19</v>
      </c>
      <c r="AH100" s="207" t="s">
        <v>306</v>
      </c>
      <c r="AI100" s="208">
        <v>0.40383000099999999</v>
      </c>
      <c r="AJ100" s="209" t="s">
        <v>307</v>
      </c>
      <c r="AK100" s="210" t="s">
        <v>28</v>
      </c>
    </row>
    <row r="101" spans="2:37" ht="17" x14ac:dyDescent="0.2">
      <c r="B101" s="194">
        <v>64</v>
      </c>
      <c r="C101" s="195">
        <v>11</v>
      </c>
      <c r="D101" s="195" t="s">
        <v>2726</v>
      </c>
      <c r="E101" s="196" t="s">
        <v>1906</v>
      </c>
      <c r="F101" s="194" t="s">
        <v>308</v>
      </c>
      <c r="G101" s="195">
        <v>36351781</v>
      </c>
      <c r="H101" s="195" t="s">
        <v>40</v>
      </c>
      <c r="I101" s="195" t="s">
        <v>25</v>
      </c>
      <c r="J101" s="195" t="s">
        <v>51</v>
      </c>
      <c r="K101" s="197">
        <v>1.09823022742364</v>
      </c>
      <c r="L101" s="197">
        <v>1.04E-2</v>
      </c>
      <c r="M101" s="217">
        <v>2.2980000000000002E-19</v>
      </c>
      <c r="N101" s="391">
        <v>0</v>
      </c>
      <c r="O101" s="201">
        <v>0.82410000000000005</v>
      </c>
      <c r="P101" s="194" t="s">
        <v>22</v>
      </c>
      <c r="Q101" s="195" t="s">
        <v>23</v>
      </c>
      <c r="R101" s="195" t="s">
        <v>23</v>
      </c>
      <c r="S101" s="195" t="s">
        <v>23</v>
      </c>
      <c r="T101" s="195" t="s">
        <v>23</v>
      </c>
      <c r="U101" s="197" t="s">
        <v>23</v>
      </c>
      <c r="V101" s="197" t="s">
        <v>23</v>
      </c>
      <c r="W101" s="217" t="s">
        <v>23</v>
      </c>
      <c r="X101" s="391" t="s">
        <v>23</v>
      </c>
      <c r="Y101" s="201" t="s">
        <v>23</v>
      </c>
      <c r="Z101" s="199">
        <v>1</v>
      </c>
      <c r="AA101" s="194" t="s">
        <v>308</v>
      </c>
      <c r="AB101" s="195">
        <v>36351781</v>
      </c>
      <c r="AC101" s="195" t="s">
        <v>25</v>
      </c>
      <c r="AD101" s="197">
        <v>0.91055588803625997</v>
      </c>
      <c r="AE101" s="197">
        <v>1.0404099999999999E-2</v>
      </c>
      <c r="AF101" s="198">
        <v>2.1353200000000001E-19</v>
      </c>
      <c r="AG101" s="200">
        <v>3</v>
      </c>
      <c r="AH101" s="217" t="s">
        <v>309</v>
      </c>
      <c r="AI101" s="201">
        <v>0.74975530199999996</v>
      </c>
      <c r="AJ101" s="202" t="s">
        <v>38</v>
      </c>
      <c r="AK101" s="203" t="s">
        <v>28</v>
      </c>
    </row>
    <row r="102" spans="2:37" ht="17" x14ac:dyDescent="0.2">
      <c r="B102" s="194">
        <v>65</v>
      </c>
      <c r="C102" s="195">
        <v>11</v>
      </c>
      <c r="D102" s="195" t="s">
        <v>2727</v>
      </c>
      <c r="E102" s="196" t="s">
        <v>1907</v>
      </c>
      <c r="F102" s="194" t="s">
        <v>310</v>
      </c>
      <c r="G102" s="195">
        <v>36430658</v>
      </c>
      <c r="H102" s="195" t="s">
        <v>40</v>
      </c>
      <c r="I102" s="195" t="s">
        <v>25</v>
      </c>
      <c r="J102" s="195" t="s">
        <v>311</v>
      </c>
      <c r="K102" s="197">
        <v>1.2545789270616201</v>
      </c>
      <c r="L102" s="197">
        <v>2.4799999999999999E-2</v>
      </c>
      <c r="M102" s="217">
        <v>5.6300000000000003E-20</v>
      </c>
      <c r="N102" s="391">
        <v>0</v>
      </c>
      <c r="O102" s="201">
        <v>0.70409999999999995</v>
      </c>
      <c r="P102" s="194" t="s">
        <v>22</v>
      </c>
      <c r="Q102" s="195" t="s">
        <v>23</v>
      </c>
      <c r="R102" s="195" t="s">
        <v>23</v>
      </c>
      <c r="S102" s="195" t="s">
        <v>23</v>
      </c>
      <c r="T102" s="195" t="s">
        <v>23</v>
      </c>
      <c r="U102" s="197" t="s">
        <v>23</v>
      </c>
      <c r="V102" s="197" t="s">
        <v>23</v>
      </c>
      <c r="W102" s="217" t="s">
        <v>23</v>
      </c>
      <c r="X102" s="391" t="s">
        <v>23</v>
      </c>
      <c r="Y102" s="201" t="s">
        <v>23</v>
      </c>
      <c r="Z102" s="199">
        <v>1</v>
      </c>
      <c r="AA102" s="194" t="s">
        <v>310</v>
      </c>
      <c r="AB102" s="195">
        <v>36430658</v>
      </c>
      <c r="AC102" s="195" t="s">
        <v>40</v>
      </c>
      <c r="AD102" s="197">
        <v>1.2545789270616201</v>
      </c>
      <c r="AE102" s="197">
        <v>2.4808E-2</v>
      </c>
      <c r="AF102" s="198">
        <v>6.1197399999999998E-20</v>
      </c>
      <c r="AG102" s="200">
        <v>18</v>
      </c>
      <c r="AH102" s="217" t="s">
        <v>312</v>
      </c>
      <c r="AI102" s="201">
        <v>0.13235374799999999</v>
      </c>
      <c r="AJ102" s="202" t="s">
        <v>38</v>
      </c>
      <c r="AK102" s="203" t="s">
        <v>28</v>
      </c>
    </row>
    <row r="103" spans="2:37" ht="17" x14ac:dyDescent="0.2">
      <c r="B103" s="86">
        <v>66</v>
      </c>
      <c r="C103" s="87">
        <v>11</v>
      </c>
      <c r="D103" s="87" t="s">
        <v>2728</v>
      </c>
      <c r="E103" s="89" t="s">
        <v>1908</v>
      </c>
      <c r="F103" s="86" t="s">
        <v>313</v>
      </c>
      <c r="G103" s="87">
        <v>65593444</v>
      </c>
      <c r="H103" s="87" t="s">
        <v>40</v>
      </c>
      <c r="I103" s="87" t="s">
        <v>19</v>
      </c>
      <c r="J103" s="87" t="s">
        <v>314</v>
      </c>
      <c r="K103" s="88">
        <v>0.91411398978812497</v>
      </c>
      <c r="L103" s="88">
        <v>1.0500000000000001E-2</v>
      </c>
      <c r="M103" s="184">
        <v>9.0010000000000001E-18</v>
      </c>
      <c r="N103" s="90">
        <v>0</v>
      </c>
      <c r="O103" s="185">
        <v>0.62780000000000002</v>
      </c>
      <c r="P103" s="86" t="s">
        <v>315</v>
      </c>
      <c r="Q103" s="87">
        <v>64107735</v>
      </c>
      <c r="R103" s="87" t="s">
        <v>40</v>
      </c>
      <c r="S103" s="87" t="s">
        <v>25</v>
      </c>
      <c r="T103" s="87" t="s">
        <v>316</v>
      </c>
      <c r="U103" s="88">
        <v>0.92035114722012501</v>
      </c>
      <c r="V103" s="88">
        <v>9.7000000000000003E-3</v>
      </c>
      <c r="W103" s="184">
        <v>1.037E-17</v>
      </c>
      <c r="X103" s="90">
        <v>0</v>
      </c>
      <c r="Y103" s="185">
        <v>0.5655</v>
      </c>
      <c r="Z103" s="182">
        <v>2</v>
      </c>
      <c r="AA103" s="86" t="s">
        <v>315</v>
      </c>
      <c r="AB103" s="87">
        <v>64107735</v>
      </c>
      <c r="AC103" s="87" t="s">
        <v>40</v>
      </c>
      <c r="AD103" s="88">
        <v>0.92081631817035803</v>
      </c>
      <c r="AE103" s="88">
        <v>9.7035899999999998E-3</v>
      </c>
      <c r="AF103" s="127">
        <v>1.87228E-17</v>
      </c>
      <c r="AG103" s="183">
        <v>12</v>
      </c>
      <c r="AH103" s="184" t="s">
        <v>317</v>
      </c>
      <c r="AI103" s="185">
        <v>0.38992998899999998</v>
      </c>
      <c r="AJ103" s="186" t="s">
        <v>318</v>
      </c>
      <c r="AK103" s="187" t="s">
        <v>28</v>
      </c>
    </row>
    <row r="104" spans="2:37" ht="17" x14ac:dyDescent="0.2">
      <c r="B104" s="75" t="s">
        <v>28</v>
      </c>
      <c r="C104" s="77" t="s">
        <v>28</v>
      </c>
      <c r="D104" s="77" t="s">
        <v>28</v>
      </c>
      <c r="E104" s="79" t="s">
        <v>28</v>
      </c>
      <c r="F104" s="75" t="s">
        <v>28</v>
      </c>
      <c r="G104" s="77" t="s">
        <v>28</v>
      </c>
      <c r="H104" s="77" t="s">
        <v>28</v>
      </c>
      <c r="I104" s="77" t="s">
        <v>28</v>
      </c>
      <c r="J104" s="77" t="s">
        <v>28</v>
      </c>
      <c r="K104" s="178" t="s">
        <v>28</v>
      </c>
      <c r="L104" s="178" t="s">
        <v>28</v>
      </c>
      <c r="M104" s="190" t="s">
        <v>28</v>
      </c>
      <c r="N104" s="114" t="s">
        <v>28</v>
      </c>
      <c r="O104" s="191" t="s">
        <v>28</v>
      </c>
      <c r="P104" s="75" t="s">
        <v>28</v>
      </c>
      <c r="Q104" s="77" t="s">
        <v>28</v>
      </c>
      <c r="R104" s="77" t="s">
        <v>28</v>
      </c>
      <c r="S104" s="77" t="s">
        <v>28</v>
      </c>
      <c r="T104" s="77" t="s">
        <v>28</v>
      </c>
      <c r="U104" s="178" t="s">
        <v>28</v>
      </c>
      <c r="V104" s="178" t="s">
        <v>28</v>
      </c>
      <c r="W104" s="190" t="s">
        <v>28</v>
      </c>
      <c r="X104" s="114" t="s">
        <v>28</v>
      </c>
      <c r="Y104" s="191" t="s">
        <v>28</v>
      </c>
      <c r="Z104" s="188" t="s">
        <v>28</v>
      </c>
      <c r="AA104" s="75" t="s">
        <v>319</v>
      </c>
      <c r="AB104" s="77">
        <v>65595697</v>
      </c>
      <c r="AC104" s="77" t="s">
        <v>40</v>
      </c>
      <c r="AD104" s="178">
        <v>1.0984602209127401</v>
      </c>
      <c r="AE104" s="178">
        <v>1.21037E-2</v>
      </c>
      <c r="AF104" s="129">
        <v>8.5772700000000006E-15</v>
      </c>
      <c r="AG104" s="189">
        <v>8</v>
      </c>
      <c r="AH104" s="190" t="s">
        <v>320</v>
      </c>
      <c r="AI104" s="191">
        <v>0.30297976500000001</v>
      </c>
      <c r="AJ104" s="192" t="s">
        <v>28</v>
      </c>
      <c r="AK104" s="193" t="s">
        <v>28</v>
      </c>
    </row>
    <row r="105" spans="2:37" ht="17" x14ac:dyDescent="0.2">
      <c r="B105" s="194">
        <v>67</v>
      </c>
      <c r="C105" s="195">
        <v>11</v>
      </c>
      <c r="D105" s="195" t="s">
        <v>2729</v>
      </c>
      <c r="E105" s="196" t="s">
        <v>1909</v>
      </c>
      <c r="F105" s="194" t="s">
        <v>321</v>
      </c>
      <c r="G105" s="195">
        <v>76281593</v>
      </c>
      <c r="H105" s="195" t="s">
        <v>19</v>
      </c>
      <c r="I105" s="195" t="s">
        <v>20</v>
      </c>
      <c r="J105" s="195" t="s">
        <v>322</v>
      </c>
      <c r="K105" s="197">
        <v>1.0526386375104499</v>
      </c>
      <c r="L105" s="197">
        <v>9.1999999999999998E-3</v>
      </c>
      <c r="M105" s="217">
        <v>2.562E-8</v>
      </c>
      <c r="N105" s="391">
        <v>40.6</v>
      </c>
      <c r="O105" s="201">
        <v>3.8240000000000003E-2</v>
      </c>
      <c r="P105" s="194" t="s">
        <v>22</v>
      </c>
      <c r="Q105" s="195" t="s">
        <v>23</v>
      </c>
      <c r="R105" s="195" t="s">
        <v>23</v>
      </c>
      <c r="S105" s="195" t="s">
        <v>23</v>
      </c>
      <c r="T105" s="195" t="s">
        <v>23</v>
      </c>
      <c r="U105" s="197" t="s">
        <v>23</v>
      </c>
      <c r="V105" s="197" t="s">
        <v>23</v>
      </c>
      <c r="W105" s="217" t="s">
        <v>23</v>
      </c>
      <c r="X105" s="391" t="s">
        <v>23</v>
      </c>
      <c r="Y105" s="201" t="s">
        <v>23</v>
      </c>
      <c r="Z105" s="199">
        <v>1</v>
      </c>
      <c r="AA105" s="194" t="s">
        <v>321</v>
      </c>
      <c r="AB105" s="195">
        <v>76281593</v>
      </c>
      <c r="AC105" s="195" t="s">
        <v>19</v>
      </c>
      <c r="AD105" s="197">
        <v>1.0526386375104499</v>
      </c>
      <c r="AE105" s="197">
        <v>9.2013300000000006E-3</v>
      </c>
      <c r="AF105" s="198">
        <v>2.4713300000000001E-8</v>
      </c>
      <c r="AG105" s="200">
        <v>27</v>
      </c>
      <c r="AH105" s="217" t="s">
        <v>323</v>
      </c>
      <c r="AI105" s="201">
        <v>0.26379048599999999</v>
      </c>
      <c r="AJ105" s="202" t="s">
        <v>38</v>
      </c>
      <c r="AK105" s="203" t="s">
        <v>28</v>
      </c>
    </row>
    <row r="106" spans="2:37" ht="17" x14ac:dyDescent="0.2">
      <c r="B106" s="130">
        <v>68</v>
      </c>
      <c r="C106" s="131">
        <v>11</v>
      </c>
      <c r="D106" s="131" t="s">
        <v>2730</v>
      </c>
      <c r="E106" s="132" t="s">
        <v>1910</v>
      </c>
      <c r="F106" s="130" t="s">
        <v>324</v>
      </c>
      <c r="G106" s="131">
        <v>109982701</v>
      </c>
      <c r="H106" s="131" t="s">
        <v>325</v>
      </c>
      <c r="I106" s="131" t="s">
        <v>20</v>
      </c>
      <c r="J106" s="131" t="s">
        <v>326</v>
      </c>
      <c r="K106" s="204">
        <v>1.08665046816198</v>
      </c>
      <c r="L106" s="204">
        <v>9.9000000000000008E-3</v>
      </c>
      <c r="M106" s="207">
        <v>3.7879999999999999E-17</v>
      </c>
      <c r="N106" s="392">
        <v>43.1</v>
      </c>
      <c r="O106" s="208">
        <v>2.7130000000000001E-2</v>
      </c>
      <c r="P106" s="130" t="s">
        <v>22</v>
      </c>
      <c r="Q106" s="131" t="s">
        <v>23</v>
      </c>
      <c r="R106" s="131" t="s">
        <v>23</v>
      </c>
      <c r="S106" s="131" t="s">
        <v>23</v>
      </c>
      <c r="T106" s="131" t="s">
        <v>23</v>
      </c>
      <c r="U106" s="204" t="s">
        <v>23</v>
      </c>
      <c r="V106" s="204" t="s">
        <v>23</v>
      </c>
      <c r="W106" s="207" t="s">
        <v>23</v>
      </c>
      <c r="X106" s="392" t="s">
        <v>23</v>
      </c>
      <c r="Y106" s="208" t="s">
        <v>23</v>
      </c>
      <c r="Z106" s="205">
        <v>1</v>
      </c>
      <c r="AA106" s="130" t="s">
        <v>327</v>
      </c>
      <c r="AB106" s="131">
        <v>109974444</v>
      </c>
      <c r="AC106" s="131" t="s">
        <v>19</v>
      </c>
      <c r="AD106" s="204">
        <v>0.92099561856183199</v>
      </c>
      <c r="AE106" s="204">
        <v>9.8032299999999996E-3</v>
      </c>
      <c r="AF106" s="133">
        <v>4.6512100000000001E-17</v>
      </c>
      <c r="AG106" s="206">
        <v>58</v>
      </c>
      <c r="AH106" s="207" t="s">
        <v>328</v>
      </c>
      <c r="AI106" s="208">
        <v>4.1081592E-2</v>
      </c>
      <c r="AJ106" s="209" t="s">
        <v>329</v>
      </c>
      <c r="AK106" s="210" t="s">
        <v>28</v>
      </c>
    </row>
    <row r="107" spans="2:37" ht="17" x14ac:dyDescent="0.2">
      <c r="B107" s="194">
        <v>69</v>
      </c>
      <c r="C107" s="195">
        <v>11</v>
      </c>
      <c r="D107" s="195" t="s">
        <v>2731</v>
      </c>
      <c r="E107" s="196" t="s">
        <v>1625</v>
      </c>
      <c r="F107" s="194" t="s">
        <v>330</v>
      </c>
      <c r="G107" s="195">
        <v>120175749</v>
      </c>
      <c r="H107" s="195" t="s">
        <v>40</v>
      </c>
      <c r="I107" s="195" t="s">
        <v>25</v>
      </c>
      <c r="J107" s="195" t="s">
        <v>331</v>
      </c>
      <c r="K107" s="197">
        <v>1.07004424704785</v>
      </c>
      <c r="L107" s="197">
        <v>9.1999999999999998E-3</v>
      </c>
      <c r="M107" s="217">
        <v>2.306E-13</v>
      </c>
      <c r="N107" s="391">
        <v>0</v>
      </c>
      <c r="O107" s="201">
        <v>0.83919999999999995</v>
      </c>
      <c r="P107" s="194" t="s">
        <v>22</v>
      </c>
      <c r="Q107" s="195" t="s">
        <v>23</v>
      </c>
      <c r="R107" s="195" t="s">
        <v>23</v>
      </c>
      <c r="S107" s="195" t="s">
        <v>23</v>
      </c>
      <c r="T107" s="195" t="s">
        <v>23</v>
      </c>
      <c r="U107" s="197" t="s">
        <v>23</v>
      </c>
      <c r="V107" s="197" t="s">
        <v>23</v>
      </c>
      <c r="W107" s="217" t="s">
        <v>23</v>
      </c>
      <c r="X107" s="391" t="s">
        <v>23</v>
      </c>
      <c r="Y107" s="201" t="s">
        <v>23</v>
      </c>
      <c r="Z107" s="199">
        <v>1</v>
      </c>
      <c r="AA107" s="194" t="s">
        <v>330</v>
      </c>
      <c r="AB107" s="195">
        <v>120175749</v>
      </c>
      <c r="AC107" s="195" t="s">
        <v>25</v>
      </c>
      <c r="AD107" s="197">
        <v>0.93454079376521204</v>
      </c>
      <c r="AE107" s="197">
        <v>9.2023299999999999E-3</v>
      </c>
      <c r="AF107" s="198">
        <v>1.88328E-13</v>
      </c>
      <c r="AG107" s="200">
        <v>2</v>
      </c>
      <c r="AH107" s="217" t="s">
        <v>332</v>
      </c>
      <c r="AI107" s="201">
        <v>0.890947763</v>
      </c>
      <c r="AJ107" s="202" t="s">
        <v>38</v>
      </c>
      <c r="AK107" s="203" t="s">
        <v>28</v>
      </c>
    </row>
    <row r="108" spans="2:37" ht="17" x14ac:dyDescent="0.2">
      <c r="B108" s="86">
        <v>70</v>
      </c>
      <c r="C108" s="87">
        <v>11</v>
      </c>
      <c r="D108" s="87" t="s">
        <v>2732</v>
      </c>
      <c r="E108" s="89" t="s">
        <v>1911</v>
      </c>
      <c r="F108" s="86" t="s">
        <v>333</v>
      </c>
      <c r="G108" s="87">
        <v>128390069</v>
      </c>
      <c r="H108" s="87" t="s">
        <v>40</v>
      </c>
      <c r="I108" s="87" t="s">
        <v>19</v>
      </c>
      <c r="J108" s="87" t="s">
        <v>334</v>
      </c>
      <c r="K108" s="88">
        <v>0.903029551668877</v>
      </c>
      <c r="L108" s="88">
        <v>1.0800000000000001E-2</v>
      </c>
      <c r="M108" s="184">
        <v>3.0980000000000001E-21</v>
      </c>
      <c r="N108" s="90">
        <v>0</v>
      </c>
      <c r="O108" s="185">
        <v>0.88349999999999995</v>
      </c>
      <c r="P108" s="86" t="s">
        <v>22</v>
      </c>
      <c r="Q108" s="87" t="s">
        <v>23</v>
      </c>
      <c r="R108" s="87" t="s">
        <v>23</v>
      </c>
      <c r="S108" s="87" t="s">
        <v>23</v>
      </c>
      <c r="T108" s="87" t="s">
        <v>23</v>
      </c>
      <c r="U108" s="88" t="s">
        <v>23</v>
      </c>
      <c r="V108" s="88" t="s">
        <v>23</v>
      </c>
      <c r="W108" s="184" t="s">
        <v>23</v>
      </c>
      <c r="X108" s="90" t="s">
        <v>23</v>
      </c>
      <c r="Y108" s="185" t="s">
        <v>23</v>
      </c>
      <c r="Z108" s="182">
        <v>3</v>
      </c>
      <c r="AA108" s="86" t="s">
        <v>335</v>
      </c>
      <c r="AB108" s="87">
        <v>128396738</v>
      </c>
      <c r="AC108" s="87" t="s">
        <v>25</v>
      </c>
      <c r="AD108" s="88">
        <v>1.1070014903257701</v>
      </c>
      <c r="AE108" s="88">
        <v>1.08124E-2</v>
      </c>
      <c r="AF108" s="127">
        <v>5.3699899999999997E-21</v>
      </c>
      <c r="AG108" s="183">
        <v>6</v>
      </c>
      <c r="AH108" s="184" t="s">
        <v>336</v>
      </c>
      <c r="AI108" s="185">
        <v>0.27801282799999999</v>
      </c>
      <c r="AJ108" s="186" t="s">
        <v>337</v>
      </c>
      <c r="AK108" s="187" t="s">
        <v>28</v>
      </c>
    </row>
    <row r="109" spans="2:37" ht="17" x14ac:dyDescent="0.2">
      <c r="B109" s="66" t="s">
        <v>28</v>
      </c>
      <c r="C109" s="67" t="s">
        <v>28</v>
      </c>
      <c r="D109" s="67" t="s">
        <v>28</v>
      </c>
      <c r="E109" s="69" t="s">
        <v>28</v>
      </c>
      <c r="F109" s="66" t="s">
        <v>28</v>
      </c>
      <c r="G109" s="67" t="s">
        <v>28</v>
      </c>
      <c r="H109" s="67" t="s">
        <v>28</v>
      </c>
      <c r="I109" s="67" t="s">
        <v>28</v>
      </c>
      <c r="J109" s="67" t="s">
        <v>28</v>
      </c>
      <c r="K109" s="68" t="s">
        <v>28</v>
      </c>
      <c r="L109" s="68" t="s">
        <v>28</v>
      </c>
      <c r="M109" s="213" t="s">
        <v>28</v>
      </c>
      <c r="N109" s="80" t="s">
        <v>28</v>
      </c>
      <c r="O109" s="214" t="s">
        <v>28</v>
      </c>
      <c r="P109" s="66" t="s">
        <v>28</v>
      </c>
      <c r="Q109" s="67" t="s">
        <v>28</v>
      </c>
      <c r="R109" s="67" t="s">
        <v>28</v>
      </c>
      <c r="S109" s="67" t="s">
        <v>28</v>
      </c>
      <c r="T109" s="67" t="s">
        <v>28</v>
      </c>
      <c r="U109" s="68" t="s">
        <v>28</v>
      </c>
      <c r="V109" s="68" t="s">
        <v>28</v>
      </c>
      <c r="W109" s="213" t="s">
        <v>28</v>
      </c>
      <c r="X109" s="80" t="s">
        <v>28</v>
      </c>
      <c r="Y109" s="214" t="s">
        <v>28</v>
      </c>
      <c r="Z109" s="211" t="s">
        <v>28</v>
      </c>
      <c r="AA109" s="66" t="s">
        <v>338</v>
      </c>
      <c r="AB109" s="67">
        <v>128194450</v>
      </c>
      <c r="AC109" s="67" t="s">
        <v>19</v>
      </c>
      <c r="AD109" s="68">
        <v>1.08186380595318</v>
      </c>
      <c r="AE109" s="68">
        <v>9.7580800000000006E-3</v>
      </c>
      <c r="AF109" s="128">
        <v>7.4077700000000003E-16</v>
      </c>
      <c r="AG109" s="212">
        <v>6</v>
      </c>
      <c r="AH109" s="213" t="s">
        <v>339</v>
      </c>
      <c r="AI109" s="214">
        <v>0.25592336500000001</v>
      </c>
      <c r="AJ109" s="215" t="s">
        <v>28</v>
      </c>
      <c r="AK109" s="216" t="s">
        <v>28</v>
      </c>
    </row>
    <row r="110" spans="2:37" ht="17" x14ac:dyDescent="0.2">
      <c r="B110" s="75" t="s">
        <v>28</v>
      </c>
      <c r="C110" s="77" t="s">
        <v>28</v>
      </c>
      <c r="D110" s="77" t="s">
        <v>28</v>
      </c>
      <c r="E110" s="79" t="s">
        <v>28</v>
      </c>
      <c r="F110" s="75" t="s">
        <v>28</v>
      </c>
      <c r="G110" s="77" t="s">
        <v>28</v>
      </c>
      <c r="H110" s="77" t="s">
        <v>28</v>
      </c>
      <c r="I110" s="77" t="s">
        <v>28</v>
      </c>
      <c r="J110" s="77" t="s">
        <v>28</v>
      </c>
      <c r="K110" s="178" t="s">
        <v>28</v>
      </c>
      <c r="L110" s="178" t="s">
        <v>28</v>
      </c>
      <c r="M110" s="190" t="s">
        <v>28</v>
      </c>
      <c r="N110" s="114" t="s">
        <v>28</v>
      </c>
      <c r="O110" s="191" t="s">
        <v>28</v>
      </c>
      <c r="P110" s="75" t="s">
        <v>28</v>
      </c>
      <c r="Q110" s="77" t="s">
        <v>28</v>
      </c>
      <c r="R110" s="77" t="s">
        <v>28</v>
      </c>
      <c r="S110" s="77" t="s">
        <v>28</v>
      </c>
      <c r="T110" s="77" t="s">
        <v>28</v>
      </c>
      <c r="U110" s="178" t="s">
        <v>28</v>
      </c>
      <c r="V110" s="178" t="s">
        <v>28</v>
      </c>
      <c r="W110" s="190" t="s">
        <v>28</v>
      </c>
      <c r="X110" s="114" t="s">
        <v>28</v>
      </c>
      <c r="Y110" s="191" t="s">
        <v>28</v>
      </c>
      <c r="Z110" s="188" t="s">
        <v>28</v>
      </c>
      <c r="AA110" s="75" t="s">
        <v>340</v>
      </c>
      <c r="AB110" s="77">
        <v>128172643</v>
      </c>
      <c r="AC110" s="77" t="s">
        <v>40</v>
      </c>
      <c r="AD110" s="178">
        <v>0.93529106375777904</v>
      </c>
      <c r="AE110" s="178">
        <v>1.1063099999999999E-2</v>
      </c>
      <c r="AF110" s="129">
        <v>1.4762900000000001E-9</v>
      </c>
      <c r="AG110" s="189">
        <v>18</v>
      </c>
      <c r="AH110" s="190" t="s">
        <v>341</v>
      </c>
      <c r="AI110" s="191">
        <v>0.129575299</v>
      </c>
      <c r="AJ110" s="192" t="s">
        <v>28</v>
      </c>
      <c r="AK110" s="193" t="s">
        <v>28</v>
      </c>
    </row>
    <row r="111" spans="2:37" ht="17" x14ac:dyDescent="0.2">
      <c r="B111" s="194">
        <v>71</v>
      </c>
      <c r="C111" s="195">
        <v>12</v>
      </c>
      <c r="D111" s="195" t="s">
        <v>2733</v>
      </c>
      <c r="E111" s="196" t="s">
        <v>1912</v>
      </c>
      <c r="F111" s="194" t="s">
        <v>342</v>
      </c>
      <c r="G111" s="195">
        <v>901531</v>
      </c>
      <c r="H111" s="195" t="s">
        <v>19</v>
      </c>
      <c r="I111" s="195" t="s">
        <v>20</v>
      </c>
      <c r="J111" s="195" t="s">
        <v>343</v>
      </c>
      <c r="K111" s="197">
        <v>1.0545350933561899</v>
      </c>
      <c r="L111" s="197">
        <v>9.2999999999999992E-3</v>
      </c>
      <c r="M111" s="217">
        <v>1.0169999999999999E-8</v>
      </c>
      <c r="N111" s="391">
        <v>29.3</v>
      </c>
      <c r="O111" s="201">
        <v>0.1181</v>
      </c>
      <c r="P111" s="194" t="s">
        <v>22</v>
      </c>
      <c r="Q111" s="195" t="s">
        <v>23</v>
      </c>
      <c r="R111" s="195" t="s">
        <v>23</v>
      </c>
      <c r="S111" s="195" t="s">
        <v>23</v>
      </c>
      <c r="T111" s="195" t="s">
        <v>23</v>
      </c>
      <c r="U111" s="197" t="s">
        <v>23</v>
      </c>
      <c r="V111" s="197" t="s">
        <v>23</v>
      </c>
      <c r="W111" s="217" t="s">
        <v>23</v>
      </c>
      <c r="X111" s="391" t="s">
        <v>23</v>
      </c>
      <c r="Y111" s="201" t="s">
        <v>23</v>
      </c>
      <c r="Z111" s="199">
        <v>1</v>
      </c>
      <c r="AA111" s="194" t="s">
        <v>344</v>
      </c>
      <c r="AB111" s="195">
        <v>923311</v>
      </c>
      <c r="AC111" s="195" t="s">
        <v>40</v>
      </c>
      <c r="AD111" s="197">
        <v>1.0540079576044299</v>
      </c>
      <c r="AE111" s="197">
        <v>9.2014100000000001E-3</v>
      </c>
      <c r="AF111" s="198">
        <v>1.08732E-8</v>
      </c>
      <c r="AG111" s="200">
        <v>20</v>
      </c>
      <c r="AH111" s="217" t="s">
        <v>345</v>
      </c>
      <c r="AI111" s="201">
        <v>7.9800095000000001E-2</v>
      </c>
      <c r="AJ111" s="202" t="s">
        <v>38</v>
      </c>
      <c r="AK111" s="203" t="s">
        <v>28</v>
      </c>
    </row>
    <row r="112" spans="2:37" ht="17" x14ac:dyDescent="0.2">
      <c r="B112" s="194">
        <v>72</v>
      </c>
      <c r="C112" s="195">
        <v>12</v>
      </c>
      <c r="D112" s="195" t="s">
        <v>2734</v>
      </c>
      <c r="E112" s="196" t="s">
        <v>1828</v>
      </c>
      <c r="F112" s="194" t="s">
        <v>346</v>
      </c>
      <c r="G112" s="195">
        <v>6468303</v>
      </c>
      <c r="H112" s="195" t="s">
        <v>19</v>
      </c>
      <c r="I112" s="195" t="s">
        <v>20</v>
      </c>
      <c r="J112" s="195" t="s">
        <v>347</v>
      </c>
      <c r="K112" s="197">
        <v>1.06822671716599</v>
      </c>
      <c r="L112" s="197">
        <v>9.7000000000000003E-3</v>
      </c>
      <c r="M112" s="217">
        <v>1.012E-11</v>
      </c>
      <c r="N112" s="391">
        <v>31</v>
      </c>
      <c r="O112" s="201">
        <v>0.10290000000000001</v>
      </c>
      <c r="P112" s="194" t="s">
        <v>22</v>
      </c>
      <c r="Q112" s="195" t="s">
        <v>23</v>
      </c>
      <c r="R112" s="195" t="s">
        <v>23</v>
      </c>
      <c r="S112" s="195" t="s">
        <v>23</v>
      </c>
      <c r="T112" s="195" t="s">
        <v>23</v>
      </c>
      <c r="U112" s="197" t="s">
        <v>23</v>
      </c>
      <c r="V112" s="197" t="s">
        <v>23</v>
      </c>
      <c r="W112" s="217" t="s">
        <v>23</v>
      </c>
      <c r="X112" s="391" t="s">
        <v>23</v>
      </c>
      <c r="Y112" s="201" t="s">
        <v>23</v>
      </c>
      <c r="Z112" s="199">
        <v>1</v>
      </c>
      <c r="AA112" s="194" t="s">
        <v>346</v>
      </c>
      <c r="AB112" s="195">
        <v>6468303</v>
      </c>
      <c r="AC112" s="195" t="s">
        <v>20</v>
      </c>
      <c r="AD112" s="197">
        <v>0.93613086429161896</v>
      </c>
      <c r="AE112" s="197">
        <v>9.7022400000000009E-3</v>
      </c>
      <c r="AF112" s="198">
        <v>1.0278E-11</v>
      </c>
      <c r="AG112" s="200">
        <v>1</v>
      </c>
      <c r="AH112" s="217" t="s">
        <v>348</v>
      </c>
      <c r="AI112" s="201">
        <v>0.97943521700000002</v>
      </c>
      <c r="AJ112" s="202" t="s">
        <v>38</v>
      </c>
      <c r="AK112" s="203" t="s">
        <v>28</v>
      </c>
    </row>
    <row r="113" spans="2:37" ht="17" x14ac:dyDescent="0.2">
      <c r="B113" s="130">
        <v>73</v>
      </c>
      <c r="C113" s="131">
        <v>12</v>
      </c>
      <c r="D113" s="131" t="s">
        <v>2735</v>
      </c>
      <c r="E113" s="132" t="s">
        <v>1630</v>
      </c>
      <c r="F113" s="130" t="s">
        <v>349</v>
      </c>
      <c r="G113" s="131">
        <v>10574001</v>
      </c>
      <c r="H113" s="131" t="s">
        <v>19</v>
      </c>
      <c r="I113" s="131" t="s">
        <v>20</v>
      </c>
      <c r="J113" s="131" t="s">
        <v>350</v>
      </c>
      <c r="K113" s="204">
        <v>0.924132333057885</v>
      </c>
      <c r="L113" s="204">
        <v>1.0800000000000001E-2</v>
      </c>
      <c r="M113" s="207">
        <v>2.1980000000000001E-13</v>
      </c>
      <c r="N113" s="392">
        <v>0</v>
      </c>
      <c r="O113" s="208">
        <v>0.49940000000000001</v>
      </c>
      <c r="P113" s="130" t="s">
        <v>351</v>
      </c>
      <c r="Q113" s="131">
        <v>10580303</v>
      </c>
      <c r="R113" s="131" t="s">
        <v>19</v>
      </c>
      <c r="S113" s="131" t="s">
        <v>20</v>
      </c>
      <c r="T113" s="131" t="s">
        <v>352</v>
      </c>
      <c r="U113" s="204">
        <v>1.0699372479731899</v>
      </c>
      <c r="V113" s="204">
        <v>9.7999999999999997E-3</v>
      </c>
      <c r="W113" s="207">
        <v>5.7480000000000001E-12</v>
      </c>
      <c r="X113" s="392">
        <v>16.8</v>
      </c>
      <c r="Y113" s="208">
        <v>0.25240000000000001</v>
      </c>
      <c r="Z113" s="205">
        <v>1</v>
      </c>
      <c r="AA113" s="130" t="s">
        <v>351</v>
      </c>
      <c r="AB113" s="131">
        <v>10580303</v>
      </c>
      <c r="AC113" s="131" t="s">
        <v>20</v>
      </c>
      <c r="AD113" s="204">
        <v>0.93463425251744903</v>
      </c>
      <c r="AE113" s="204">
        <v>9.8021500000000008E-3</v>
      </c>
      <c r="AF113" s="133">
        <v>5.3318199999999998E-12</v>
      </c>
      <c r="AG113" s="206">
        <v>15</v>
      </c>
      <c r="AH113" s="207" t="s">
        <v>353</v>
      </c>
      <c r="AI113" s="208">
        <v>0.319943598</v>
      </c>
      <c r="AJ113" s="209" t="s">
        <v>354</v>
      </c>
      <c r="AK113" s="210" t="s">
        <v>28</v>
      </c>
    </row>
    <row r="114" spans="2:37" ht="17" x14ac:dyDescent="0.2">
      <c r="B114" s="86">
        <v>74</v>
      </c>
      <c r="C114" s="87">
        <v>12</v>
      </c>
      <c r="D114" s="87" t="s">
        <v>2736</v>
      </c>
      <c r="E114" s="89" t="s">
        <v>1637</v>
      </c>
      <c r="F114" s="86" t="s">
        <v>355</v>
      </c>
      <c r="G114" s="87">
        <v>56739557</v>
      </c>
      <c r="H114" s="87" t="s">
        <v>40</v>
      </c>
      <c r="I114" s="87" t="s">
        <v>25</v>
      </c>
      <c r="J114" s="87" t="s">
        <v>356</v>
      </c>
      <c r="K114" s="88">
        <v>1.3116685119189799</v>
      </c>
      <c r="L114" s="88">
        <v>2.0799999999999999E-2</v>
      </c>
      <c r="M114" s="184">
        <v>9.8080000000000001E-39</v>
      </c>
      <c r="N114" s="90">
        <v>69.099999999999994</v>
      </c>
      <c r="O114" s="395">
        <v>1.19E-5</v>
      </c>
      <c r="P114" s="86" t="s">
        <v>357</v>
      </c>
      <c r="Q114" s="87">
        <v>56688237</v>
      </c>
      <c r="R114" s="87" t="s">
        <v>40</v>
      </c>
      <c r="S114" s="87" t="s">
        <v>25</v>
      </c>
      <c r="T114" s="87" t="s">
        <v>59</v>
      </c>
      <c r="U114" s="88">
        <v>0.78694257514959998</v>
      </c>
      <c r="V114" s="88">
        <v>1.8599999999999998E-2</v>
      </c>
      <c r="W114" s="184">
        <v>4.52E-38</v>
      </c>
      <c r="X114" s="90">
        <v>73.2</v>
      </c>
      <c r="Y114" s="395">
        <v>2.8729999999999999E-7</v>
      </c>
      <c r="Z114" s="182">
        <v>3</v>
      </c>
      <c r="AA114" s="86" t="s">
        <v>357</v>
      </c>
      <c r="AB114" s="87">
        <v>56688237</v>
      </c>
      <c r="AC114" s="87" t="s">
        <v>40</v>
      </c>
      <c r="AD114" s="88">
        <v>0.81135953503846203</v>
      </c>
      <c r="AE114" s="88">
        <v>1.89357E-2</v>
      </c>
      <c r="AF114" s="127">
        <v>2.4596599999999999E-28</v>
      </c>
      <c r="AG114" s="183">
        <v>82</v>
      </c>
      <c r="AH114" s="184" t="s">
        <v>358</v>
      </c>
      <c r="AI114" s="185">
        <v>4.1619083000000001E-2</v>
      </c>
      <c r="AJ114" s="186" t="s">
        <v>359</v>
      </c>
      <c r="AK114" s="187" t="s">
        <v>28</v>
      </c>
    </row>
    <row r="115" spans="2:37" ht="17" x14ac:dyDescent="0.2">
      <c r="B115" s="66" t="s">
        <v>28</v>
      </c>
      <c r="C115" s="67" t="s">
        <v>28</v>
      </c>
      <c r="D115" s="67" t="s">
        <v>28</v>
      </c>
      <c r="E115" s="69" t="s">
        <v>28</v>
      </c>
      <c r="F115" s="66" t="s">
        <v>28</v>
      </c>
      <c r="G115" s="67" t="s">
        <v>28</v>
      </c>
      <c r="H115" s="67" t="s">
        <v>28</v>
      </c>
      <c r="I115" s="67" t="s">
        <v>28</v>
      </c>
      <c r="J115" s="67" t="s">
        <v>28</v>
      </c>
      <c r="K115" s="68" t="s">
        <v>28</v>
      </c>
      <c r="L115" s="68" t="s">
        <v>28</v>
      </c>
      <c r="M115" s="213" t="s">
        <v>28</v>
      </c>
      <c r="N115" s="80" t="s">
        <v>28</v>
      </c>
      <c r="O115" s="69" t="s">
        <v>28</v>
      </c>
      <c r="P115" s="66" t="s">
        <v>28</v>
      </c>
      <c r="Q115" s="67" t="s">
        <v>28</v>
      </c>
      <c r="R115" s="67" t="s">
        <v>28</v>
      </c>
      <c r="S115" s="67" t="s">
        <v>28</v>
      </c>
      <c r="T115" s="67" t="s">
        <v>28</v>
      </c>
      <c r="U115" s="68" t="s">
        <v>28</v>
      </c>
      <c r="V115" s="68" t="s">
        <v>28</v>
      </c>
      <c r="W115" s="213" t="s">
        <v>28</v>
      </c>
      <c r="X115" s="80" t="s">
        <v>28</v>
      </c>
      <c r="Y115" s="214" t="s">
        <v>28</v>
      </c>
      <c r="Z115" s="211" t="s">
        <v>28</v>
      </c>
      <c r="AA115" s="66" t="s">
        <v>360</v>
      </c>
      <c r="AB115" s="67">
        <v>56401085</v>
      </c>
      <c r="AC115" s="67" t="s">
        <v>40</v>
      </c>
      <c r="AD115" s="68">
        <v>0.92814036708455505</v>
      </c>
      <c r="AE115" s="68">
        <v>9.3612399999999998E-3</v>
      </c>
      <c r="AF115" s="128">
        <v>1.638E-15</v>
      </c>
      <c r="AG115" s="212">
        <v>10</v>
      </c>
      <c r="AH115" s="213" t="s">
        <v>361</v>
      </c>
      <c r="AI115" s="214">
        <v>0.65328434899999999</v>
      </c>
      <c r="AJ115" s="215" t="s">
        <v>28</v>
      </c>
      <c r="AK115" s="216" t="s">
        <v>28</v>
      </c>
    </row>
    <row r="116" spans="2:37" ht="17" x14ac:dyDescent="0.2">
      <c r="B116" s="75" t="s">
        <v>28</v>
      </c>
      <c r="C116" s="77" t="s">
        <v>28</v>
      </c>
      <c r="D116" s="77" t="s">
        <v>28</v>
      </c>
      <c r="E116" s="79" t="s">
        <v>28</v>
      </c>
      <c r="F116" s="75" t="s">
        <v>28</v>
      </c>
      <c r="G116" s="77" t="s">
        <v>28</v>
      </c>
      <c r="H116" s="77" t="s">
        <v>28</v>
      </c>
      <c r="I116" s="77" t="s">
        <v>28</v>
      </c>
      <c r="J116" s="77" t="s">
        <v>28</v>
      </c>
      <c r="K116" s="178" t="s">
        <v>28</v>
      </c>
      <c r="L116" s="178" t="s">
        <v>28</v>
      </c>
      <c r="M116" s="190" t="s">
        <v>28</v>
      </c>
      <c r="N116" s="114" t="s">
        <v>28</v>
      </c>
      <c r="O116" s="79" t="s">
        <v>28</v>
      </c>
      <c r="P116" s="75" t="s">
        <v>28</v>
      </c>
      <c r="Q116" s="77" t="s">
        <v>28</v>
      </c>
      <c r="R116" s="77" t="s">
        <v>28</v>
      </c>
      <c r="S116" s="77" t="s">
        <v>28</v>
      </c>
      <c r="T116" s="77" t="s">
        <v>28</v>
      </c>
      <c r="U116" s="178" t="s">
        <v>28</v>
      </c>
      <c r="V116" s="178" t="s">
        <v>28</v>
      </c>
      <c r="W116" s="190" t="s">
        <v>28</v>
      </c>
      <c r="X116" s="114" t="s">
        <v>28</v>
      </c>
      <c r="Y116" s="191" t="s">
        <v>28</v>
      </c>
      <c r="Z116" s="188" t="s">
        <v>28</v>
      </c>
      <c r="AA116" s="75" t="s">
        <v>362</v>
      </c>
      <c r="AB116" s="77">
        <v>56605358</v>
      </c>
      <c r="AC116" s="77" t="s">
        <v>19</v>
      </c>
      <c r="AD116" s="178">
        <v>1.21311690248906</v>
      </c>
      <c r="AE116" s="178">
        <v>3.5145200000000001E-2</v>
      </c>
      <c r="AF116" s="129">
        <v>3.8630500000000003E-8</v>
      </c>
      <c r="AG116" s="189">
        <v>22</v>
      </c>
      <c r="AH116" s="190" t="s">
        <v>363</v>
      </c>
      <c r="AI116" s="191">
        <v>0.40020974599999998</v>
      </c>
      <c r="AJ116" s="192" t="s">
        <v>28</v>
      </c>
      <c r="AK116" s="193" t="s">
        <v>28</v>
      </c>
    </row>
    <row r="117" spans="2:37" ht="17" x14ac:dyDescent="0.2">
      <c r="B117" s="194">
        <v>75</v>
      </c>
      <c r="C117" s="195">
        <v>12</v>
      </c>
      <c r="D117" s="195" t="s">
        <v>2737</v>
      </c>
      <c r="E117" s="196" t="s">
        <v>1831</v>
      </c>
      <c r="F117" s="194" t="s">
        <v>364</v>
      </c>
      <c r="G117" s="195">
        <v>94544520</v>
      </c>
      <c r="H117" s="195" t="s">
        <v>40</v>
      </c>
      <c r="I117" s="195" t="s">
        <v>25</v>
      </c>
      <c r="J117" s="195" t="s">
        <v>365</v>
      </c>
      <c r="K117" s="197">
        <v>0.84383356643412399</v>
      </c>
      <c r="L117" s="197">
        <v>2.87E-2</v>
      </c>
      <c r="M117" s="217">
        <v>3.414E-9</v>
      </c>
      <c r="N117" s="391">
        <v>0</v>
      </c>
      <c r="O117" s="201">
        <v>0.52180000000000004</v>
      </c>
      <c r="P117" s="194" t="s">
        <v>22</v>
      </c>
      <c r="Q117" s="195" t="s">
        <v>23</v>
      </c>
      <c r="R117" s="195" t="s">
        <v>23</v>
      </c>
      <c r="S117" s="195" t="s">
        <v>23</v>
      </c>
      <c r="T117" s="195" t="s">
        <v>23</v>
      </c>
      <c r="U117" s="197" t="s">
        <v>23</v>
      </c>
      <c r="V117" s="197" t="s">
        <v>23</v>
      </c>
      <c r="W117" s="217" t="s">
        <v>23</v>
      </c>
      <c r="X117" s="391" t="s">
        <v>23</v>
      </c>
      <c r="Y117" s="201" t="s">
        <v>23</v>
      </c>
      <c r="Z117" s="199">
        <v>1</v>
      </c>
      <c r="AA117" s="194" t="s">
        <v>364</v>
      </c>
      <c r="AB117" s="195">
        <v>94544520</v>
      </c>
      <c r="AC117" s="195" t="s">
        <v>40</v>
      </c>
      <c r="AD117" s="197">
        <v>0.84383356643412399</v>
      </c>
      <c r="AE117" s="197">
        <v>2.8704899999999998E-2</v>
      </c>
      <c r="AF117" s="198">
        <v>3.3112999999999999E-9</v>
      </c>
      <c r="AG117" s="200">
        <v>1</v>
      </c>
      <c r="AH117" s="217" t="s">
        <v>366</v>
      </c>
      <c r="AI117" s="201">
        <v>0.95430641100000002</v>
      </c>
      <c r="AJ117" s="202" t="s">
        <v>38</v>
      </c>
      <c r="AK117" s="203" t="s">
        <v>28</v>
      </c>
    </row>
    <row r="118" spans="2:37" ht="17" x14ac:dyDescent="0.2">
      <c r="B118" s="130">
        <v>76</v>
      </c>
      <c r="C118" s="131">
        <v>12</v>
      </c>
      <c r="D118" s="131" t="s">
        <v>2738</v>
      </c>
      <c r="E118" s="132" t="s">
        <v>1643</v>
      </c>
      <c r="F118" s="130" t="s">
        <v>367</v>
      </c>
      <c r="G118" s="131">
        <v>111884608</v>
      </c>
      <c r="H118" s="131" t="s">
        <v>19</v>
      </c>
      <c r="I118" s="131" t="s">
        <v>20</v>
      </c>
      <c r="J118" s="131" t="s">
        <v>368</v>
      </c>
      <c r="K118" s="204">
        <v>1.0846962566373</v>
      </c>
      <c r="L118" s="204">
        <v>9.1999999999999998E-3</v>
      </c>
      <c r="M118" s="207">
        <v>8.9739999999999994E-19</v>
      </c>
      <c r="N118" s="392">
        <v>19.5</v>
      </c>
      <c r="O118" s="208">
        <v>0.22140000000000001</v>
      </c>
      <c r="P118" s="130" t="s">
        <v>22</v>
      </c>
      <c r="Q118" s="131" t="s">
        <v>23</v>
      </c>
      <c r="R118" s="131" t="s">
        <v>23</v>
      </c>
      <c r="S118" s="131" t="s">
        <v>23</v>
      </c>
      <c r="T118" s="131" t="s">
        <v>23</v>
      </c>
      <c r="U118" s="204" t="s">
        <v>23</v>
      </c>
      <c r="V118" s="204" t="s">
        <v>23</v>
      </c>
      <c r="W118" s="207" t="s">
        <v>23</v>
      </c>
      <c r="X118" s="392" t="s">
        <v>23</v>
      </c>
      <c r="Y118" s="208" t="s">
        <v>23</v>
      </c>
      <c r="Z118" s="205">
        <v>1</v>
      </c>
      <c r="AA118" s="130" t="s">
        <v>367</v>
      </c>
      <c r="AB118" s="131">
        <v>111884608</v>
      </c>
      <c r="AC118" s="131" t="s">
        <v>20</v>
      </c>
      <c r="AD118" s="204">
        <v>0.92191707483174101</v>
      </c>
      <c r="AE118" s="204">
        <v>9.2034500000000002E-3</v>
      </c>
      <c r="AF118" s="133">
        <v>1.0131999999999999E-18</v>
      </c>
      <c r="AG118" s="206">
        <v>4</v>
      </c>
      <c r="AH118" s="207" t="s">
        <v>369</v>
      </c>
      <c r="AI118" s="208">
        <v>0.42705958199999999</v>
      </c>
      <c r="AJ118" s="209" t="s">
        <v>370</v>
      </c>
      <c r="AK118" s="210" t="s">
        <v>28</v>
      </c>
    </row>
    <row r="119" spans="2:37" ht="17" x14ac:dyDescent="0.2">
      <c r="B119" s="130">
        <v>77</v>
      </c>
      <c r="C119" s="131">
        <v>12</v>
      </c>
      <c r="D119" s="131" t="s">
        <v>2739</v>
      </c>
      <c r="E119" s="132" t="s">
        <v>1913</v>
      </c>
      <c r="F119" s="130" t="s">
        <v>371</v>
      </c>
      <c r="G119" s="131">
        <v>122665173</v>
      </c>
      <c r="H119" s="131" t="s">
        <v>40</v>
      </c>
      <c r="I119" s="131" t="s">
        <v>25</v>
      </c>
      <c r="J119" s="131" t="s">
        <v>41</v>
      </c>
      <c r="K119" s="204">
        <v>0.930251778412166</v>
      </c>
      <c r="L119" s="204">
        <v>0.01</v>
      </c>
      <c r="M119" s="207">
        <v>4.727E-13</v>
      </c>
      <c r="N119" s="392">
        <v>35.5</v>
      </c>
      <c r="O119" s="208">
        <v>7.3209999999999997E-2</v>
      </c>
      <c r="P119" s="130" t="s">
        <v>372</v>
      </c>
      <c r="Q119" s="131">
        <v>122661791</v>
      </c>
      <c r="R119" s="131" t="s">
        <v>19</v>
      </c>
      <c r="S119" s="131" t="s">
        <v>20</v>
      </c>
      <c r="T119" s="131" t="s">
        <v>280</v>
      </c>
      <c r="U119" s="204">
        <v>1.0661990133320201</v>
      </c>
      <c r="V119" s="204">
        <v>9.2999999999999992E-3</v>
      </c>
      <c r="W119" s="207">
        <v>4.4120000000000002E-12</v>
      </c>
      <c r="X119" s="392">
        <v>51.4</v>
      </c>
      <c r="Y119" s="208">
        <v>6.2449999999999997E-3</v>
      </c>
      <c r="Z119" s="205">
        <v>1</v>
      </c>
      <c r="AA119" s="130" t="s">
        <v>372</v>
      </c>
      <c r="AB119" s="131">
        <v>122661791</v>
      </c>
      <c r="AC119" s="131" t="s">
        <v>19</v>
      </c>
      <c r="AD119" s="204">
        <v>1.0661990133320201</v>
      </c>
      <c r="AE119" s="204">
        <v>9.3021400000000004E-3</v>
      </c>
      <c r="AF119" s="133">
        <v>5.5445999999999996E-12</v>
      </c>
      <c r="AG119" s="206">
        <v>23</v>
      </c>
      <c r="AH119" s="207" t="s">
        <v>373</v>
      </c>
      <c r="AI119" s="208">
        <v>0.12769081099999999</v>
      </c>
      <c r="AJ119" s="209" t="s">
        <v>374</v>
      </c>
      <c r="AK119" s="210" t="s">
        <v>28</v>
      </c>
    </row>
    <row r="120" spans="2:37" ht="17" x14ac:dyDescent="0.2">
      <c r="B120" s="130">
        <v>78</v>
      </c>
      <c r="C120" s="131">
        <v>13</v>
      </c>
      <c r="D120" s="131" t="s">
        <v>2740</v>
      </c>
      <c r="E120" s="132" t="s">
        <v>1914</v>
      </c>
      <c r="F120" s="130" t="s">
        <v>375</v>
      </c>
      <c r="G120" s="131">
        <v>45322344</v>
      </c>
      <c r="H120" s="131" t="s">
        <v>32</v>
      </c>
      <c r="I120" s="131" t="s">
        <v>20</v>
      </c>
      <c r="J120" s="131" t="s">
        <v>334</v>
      </c>
      <c r="K120" s="204">
        <v>0.941858714746587</v>
      </c>
      <c r="L120" s="204">
        <v>9.5999999999999992E-3</v>
      </c>
      <c r="M120" s="207">
        <v>4.0200000000000001E-10</v>
      </c>
      <c r="N120" s="392">
        <v>2.6</v>
      </c>
      <c r="O120" s="208">
        <v>0.42420000000000002</v>
      </c>
      <c r="P120" s="130" t="s">
        <v>22</v>
      </c>
      <c r="Q120" s="131" t="s">
        <v>23</v>
      </c>
      <c r="R120" s="131" t="s">
        <v>23</v>
      </c>
      <c r="S120" s="131" t="s">
        <v>23</v>
      </c>
      <c r="T120" s="131" t="s">
        <v>23</v>
      </c>
      <c r="U120" s="204" t="s">
        <v>23</v>
      </c>
      <c r="V120" s="204" t="s">
        <v>23</v>
      </c>
      <c r="W120" s="207" t="s">
        <v>23</v>
      </c>
      <c r="X120" s="392" t="s">
        <v>23</v>
      </c>
      <c r="Y120" s="208" t="s">
        <v>23</v>
      </c>
      <c r="Z120" s="205">
        <v>1</v>
      </c>
      <c r="AA120" s="130" t="s">
        <v>375</v>
      </c>
      <c r="AB120" s="131">
        <v>45322344</v>
      </c>
      <c r="AC120" s="131" t="s">
        <v>32</v>
      </c>
      <c r="AD120" s="204">
        <v>0.941858714746587</v>
      </c>
      <c r="AE120" s="204">
        <v>9.6017299999999993E-3</v>
      </c>
      <c r="AF120" s="133">
        <v>4.4190499999999999E-10</v>
      </c>
      <c r="AG120" s="206">
        <v>15</v>
      </c>
      <c r="AH120" s="207" t="s">
        <v>376</v>
      </c>
      <c r="AI120" s="208">
        <v>9.5293378999999998E-2</v>
      </c>
      <c r="AJ120" s="209" t="s">
        <v>377</v>
      </c>
      <c r="AK120" s="210" t="s">
        <v>28</v>
      </c>
    </row>
    <row r="121" spans="2:37" ht="17" x14ac:dyDescent="0.2">
      <c r="B121" s="130">
        <v>79</v>
      </c>
      <c r="C121" s="131">
        <v>13</v>
      </c>
      <c r="D121" s="131" t="s">
        <v>2741</v>
      </c>
      <c r="E121" s="132" t="s">
        <v>1915</v>
      </c>
      <c r="F121" s="130" t="s">
        <v>378</v>
      </c>
      <c r="G121" s="131">
        <v>50811220</v>
      </c>
      <c r="H121" s="131" t="s">
        <v>19</v>
      </c>
      <c r="I121" s="131" t="s">
        <v>20</v>
      </c>
      <c r="J121" s="131" t="s">
        <v>379</v>
      </c>
      <c r="K121" s="204">
        <v>1.1031833997262599</v>
      </c>
      <c r="L121" s="204">
        <v>1.7999999999999999E-2</v>
      </c>
      <c r="M121" s="207">
        <v>4.7820000000000001E-8</v>
      </c>
      <c r="N121" s="392">
        <v>29.6</v>
      </c>
      <c r="O121" s="208">
        <v>0.11559999999999999</v>
      </c>
      <c r="P121" s="130" t="s">
        <v>22</v>
      </c>
      <c r="Q121" s="131" t="s">
        <v>23</v>
      </c>
      <c r="R121" s="131" t="s">
        <v>23</v>
      </c>
      <c r="S121" s="131" t="s">
        <v>23</v>
      </c>
      <c r="T121" s="131" t="s">
        <v>23</v>
      </c>
      <c r="U121" s="204" t="s">
        <v>23</v>
      </c>
      <c r="V121" s="204" t="s">
        <v>23</v>
      </c>
      <c r="W121" s="207" t="s">
        <v>23</v>
      </c>
      <c r="X121" s="392" t="s">
        <v>23</v>
      </c>
      <c r="Y121" s="208" t="s">
        <v>23</v>
      </c>
      <c r="Z121" s="205">
        <v>1</v>
      </c>
      <c r="AA121" s="130" t="s">
        <v>378</v>
      </c>
      <c r="AB121" s="131">
        <v>50811220</v>
      </c>
      <c r="AC121" s="131" t="s">
        <v>20</v>
      </c>
      <c r="AD121" s="204">
        <v>0.90646759210493899</v>
      </c>
      <c r="AE121" s="204">
        <v>1.8002500000000001E-2</v>
      </c>
      <c r="AF121" s="133">
        <v>4.9025800000000001E-8</v>
      </c>
      <c r="AG121" s="206">
        <v>14</v>
      </c>
      <c r="AH121" s="207" t="s">
        <v>380</v>
      </c>
      <c r="AI121" s="208">
        <v>0.28834022599999998</v>
      </c>
      <c r="AJ121" s="209" t="s">
        <v>381</v>
      </c>
      <c r="AK121" s="210" t="s">
        <v>28</v>
      </c>
    </row>
    <row r="122" spans="2:37" ht="17" x14ac:dyDescent="0.2">
      <c r="B122" s="130">
        <v>80</v>
      </c>
      <c r="C122" s="131">
        <v>13</v>
      </c>
      <c r="D122" s="131" t="s">
        <v>2742</v>
      </c>
      <c r="E122" s="132" t="s">
        <v>1916</v>
      </c>
      <c r="F122" s="130" t="s">
        <v>382</v>
      </c>
      <c r="G122" s="131">
        <v>99950260</v>
      </c>
      <c r="H122" s="131" t="s">
        <v>40</v>
      </c>
      <c r="I122" s="131" t="s">
        <v>25</v>
      </c>
      <c r="J122" s="131" t="s">
        <v>383</v>
      </c>
      <c r="K122" s="204">
        <v>0.92811465795245995</v>
      </c>
      <c r="L122" s="204">
        <v>1.1900000000000001E-2</v>
      </c>
      <c r="M122" s="207">
        <v>3.4679999999999998E-10</v>
      </c>
      <c r="N122" s="392">
        <v>30.4</v>
      </c>
      <c r="O122" s="208">
        <v>0.1082</v>
      </c>
      <c r="P122" s="130" t="s">
        <v>22</v>
      </c>
      <c r="Q122" s="131" t="s">
        <v>23</v>
      </c>
      <c r="R122" s="131" t="s">
        <v>23</v>
      </c>
      <c r="S122" s="131" t="s">
        <v>23</v>
      </c>
      <c r="T122" s="131" t="s">
        <v>23</v>
      </c>
      <c r="U122" s="204" t="s">
        <v>23</v>
      </c>
      <c r="V122" s="204" t="s">
        <v>23</v>
      </c>
      <c r="W122" s="207" t="s">
        <v>23</v>
      </c>
      <c r="X122" s="392" t="s">
        <v>23</v>
      </c>
      <c r="Y122" s="208" t="s">
        <v>23</v>
      </c>
      <c r="Z122" s="205">
        <v>1</v>
      </c>
      <c r="AA122" s="130" t="s">
        <v>382</v>
      </c>
      <c r="AB122" s="131">
        <v>99950260</v>
      </c>
      <c r="AC122" s="131" t="s">
        <v>40</v>
      </c>
      <c r="AD122" s="204">
        <v>0.92811465795245995</v>
      </c>
      <c r="AE122" s="204">
        <v>1.19022E-2</v>
      </c>
      <c r="AF122" s="133">
        <v>3.6632400000000002E-10</v>
      </c>
      <c r="AG122" s="206">
        <v>27</v>
      </c>
      <c r="AH122" s="207" t="s">
        <v>384</v>
      </c>
      <c r="AI122" s="208">
        <v>7.7197378999999997E-2</v>
      </c>
      <c r="AJ122" s="209" t="s">
        <v>385</v>
      </c>
      <c r="AK122" s="210" t="s">
        <v>28</v>
      </c>
    </row>
    <row r="123" spans="2:37" ht="17" x14ac:dyDescent="0.2">
      <c r="B123" s="86">
        <v>81</v>
      </c>
      <c r="C123" s="87">
        <v>14</v>
      </c>
      <c r="D123" s="87" t="s">
        <v>2743</v>
      </c>
      <c r="E123" s="89" t="s">
        <v>1917</v>
      </c>
      <c r="F123" s="86" t="s">
        <v>386</v>
      </c>
      <c r="G123" s="87">
        <v>35832666</v>
      </c>
      <c r="H123" s="87" t="s">
        <v>19</v>
      </c>
      <c r="I123" s="87" t="s">
        <v>25</v>
      </c>
      <c r="J123" s="87" t="s">
        <v>59</v>
      </c>
      <c r="K123" s="88">
        <v>0.87197022613210895</v>
      </c>
      <c r="L123" s="88">
        <v>9.1999999999999998E-3</v>
      </c>
      <c r="M123" s="184">
        <v>3.4109999999999999E-50</v>
      </c>
      <c r="N123" s="90">
        <v>41.6</v>
      </c>
      <c r="O123" s="185">
        <v>3.3750000000000002E-2</v>
      </c>
      <c r="P123" s="86" t="s">
        <v>22</v>
      </c>
      <c r="Q123" s="87" t="s">
        <v>23</v>
      </c>
      <c r="R123" s="87" t="s">
        <v>23</v>
      </c>
      <c r="S123" s="87" t="s">
        <v>23</v>
      </c>
      <c r="T123" s="87" t="s">
        <v>23</v>
      </c>
      <c r="U123" s="88" t="s">
        <v>23</v>
      </c>
      <c r="V123" s="88" t="s">
        <v>23</v>
      </c>
      <c r="W123" s="184" t="s">
        <v>23</v>
      </c>
      <c r="X123" s="90" t="s">
        <v>23</v>
      </c>
      <c r="Y123" s="185" t="s">
        <v>23</v>
      </c>
      <c r="Z123" s="182">
        <v>2</v>
      </c>
      <c r="AA123" s="86" t="s">
        <v>386</v>
      </c>
      <c r="AB123" s="87">
        <v>35832666</v>
      </c>
      <c r="AC123" s="87" t="s">
        <v>25</v>
      </c>
      <c r="AD123" s="88">
        <v>1.1216277741902301</v>
      </c>
      <c r="AE123" s="88">
        <v>9.7069300000000008E-3</v>
      </c>
      <c r="AF123" s="127">
        <v>2.9098500000000001E-32</v>
      </c>
      <c r="AG123" s="183">
        <v>1</v>
      </c>
      <c r="AH123" s="184" t="s">
        <v>387</v>
      </c>
      <c r="AI123" s="185">
        <v>0.99966754499999999</v>
      </c>
      <c r="AJ123" s="186" t="s">
        <v>388</v>
      </c>
      <c r="AK123" s="187" t="s">
        <v>28</v>
      </c>
    </row>
    <row r="124" spans="2:37" ht="17" x14ac:dyDescent="0.2">
      <c r="B124" s="75" t="s">
        <v>28</v>
      </c>
      <c r="C124" s="77" t="s">
        <v>28</v>
      </c>
      <c r="D124" s="77" t="s">
        <v>28</v>
      </c>
      <c r="E124" s="79" t="s">
        <v>28</v>
      </c>
      <c r="F124" s="75" t="s">
        <v>28</v>
      </c>
      <c r="G124" s="77" t="s">
        <v>28</v>
      </c>
      <c r="H124" s="77" t="s">
        <v>28</v>
      </c>
      <c r="I124" s="77" t="s">
        <v>28</v>
      </c>
      <c r="J124" s="77" t="s">
        <v>28</v>
      </c>
      <c r="K124" s="178" t="s">
        <v>28</v>
      </c>
      <c r="L124" s="178" t="s">
        <v>28</v>
      </c>
      <c r="M124" s="190" t="s">
        <v>28</v>
      </c>
      <c r="N124" s="114" t="s">
        <v>28</v>
      </c>
      <c r="O124" s="191" t="s">
        <v>28</v>
      </c>
      <c r="P124" s="75" t="s">
        <v>28</v>
      </c>
      <c r="Q124" s="77" t="s">
        <v>28</v>
      </c>
      <c r="R124" s="77" t="s">
        <v>28</v>
      </c>
      <c r="S124" s="77" t="s">
        <v>28</v>
      </c>
      <c r="T124" s="77" t="s">
        <v>28</v>
      </c>
      <c r="U124" s="178" t="s">
        <v>28</v>
      </c>
      <c r="V124" s="178" t="s">
        <v>28</v>
      </c>
      <c r="W124" s="190" t="s">
        <v>28</v>
      </c>
      <c r="X124" s="114" t="s">
        <v>28</v>
      </c>
      <c r="Y124" s="191" t="s">
        <v>28</v>
      </c>
      <c r="Z124" s="188" t="s">
        <v>28</v>
      </c>
      <c r="AA124" s="75" t="s">
        <v>389</v>
      </c>
      <c r="AB124" s="77">
        <v>35847810</v>
      </c>
      <c r="AC124" s="77" t="s">
        <v>25</v>
      </c>
      <c r="AD124" s="178">
        <v>1.0993732008636401</v>
      </c>
      <c r="AE124" s="178">
        <v>1.3077699999999999E-2</v>
      </c>
      <c r="AF124" s="129">
        <v>4.3435099999999998E-13</v>
      </c>
      <c r="AG124" s="189">
        <v>6</v>
      </c>
      <c r="AH124" s="190" t="s">
        <v>390</v>
      </c>
      <c r="AI124" s="191">
        <v>0.388900211</v>
      </c>
      <c r="AJ124" s="192" t="s">
        <v>28</v>
      </c>
      <c r="AK124" s="193" t="s">
        <v>28</v>
      </c>
    </row>
    <row r="125" spans="2:37" ht="17" x14ac:dyDescent="0.2">
      <c r="B125" s="130">
        <v>82</v>
      </c>
      <c r="C125" s="131">
        <v>14</v>
      </c>
      <c r="D125" s="131" t="s">
        <v>2744</v>
      </c>
      <c r="E125" s="132" t="s">
        <v>1918</v>
      </c>
      <c r="F125" s="130" t="s">
        <v>391</v>
      </c>
      <c r="G125" s="131">
        <v>98649129</v>
      </c>
      <c r="H125" s="131" t="s">
        <v>40</v>
      </c>
      <c r="I125" s="131" t="s">
        <v>20</v>
      </c>
      <c r="J125" s="131" t="s">
        <v>392</v>
      </c>
      <c r="K125" s="204">
        <v>1.11471637460241</v>
      </c>
      <c r="L125" s="204">
        <v>1.26E-2</v>
      </c>
      <c r="M125" s="207">
        <v>7.3619999999999998E-18</v>
      </c>
      <c r="N125" s="392">
        <v>34.799999999999997</v>
      </c>
      <c r="O125" s="208">
        <v>7.8060000000000004E-2</v>
      </c>
      <c r="P125" s="130" t="s">
        <v>393</v>
      </c>
      <c r="Q125" s="131">
        <v>98659847</v>
      </c>
      <c r="R125" s="131" t="s">
        <v>40</v>
      </c>
      <c r="S125" s="131" t="s">
        <v>25</v>
      </c>
      <c r="T125" s="131" t="s">
        <v>394</v>
      </c>
      <c r="U125" s="204">
        <v>1.09877947983902</v>
      </c>
      <c r="V125" s="204">
        <v>1.15E-2</v>
      </c>
      <c r="W125" s="207">
        <v>2.2970000000000001E-16</v>
      </c>
      <c r="X125" s="392">
        <v>54.6</v>
      </c>
      <c r="Y125" s="208">
        <v>2.934E-3</v>
      </c>
      <c r="Z125" s="205">
        <v>1</v>
      </c>
      <c r="AA125" s="130" t="s">
        <v>393</v>
      </c>
      <c r="AB125" s="131">
        <v>98659847</v>
      </c>
      <c r="AC125" s="131" t="s">
        <v>25</v>
      </c>
      <c r="AD125" s="204">
        <v>0.91010072389275998</v>
      </c>
      <c r="AE125" s="204">
        <v>1.15038E-2</v>
      </c>
      <c r="AF125" s="133">
        <v>2.6421000000000001E-16</v>
      </c>
      <c r="AG125" s="206">
        <v>6</v>
      </c>
      <c r="AH125" s="207" t="s">
        <v>395</v>
      </c>
      <c r="AI125" s="208">
        <v>0.370360827</v>
      </c>
      <c r="AJ125" s="209" t="s">
        <v>396</v>
      </c>
      <c r="AK125" s="210" t="s">
        <v>28</v>
      </c>
    </row>
    <row r="126" spans="2:37" ht="17" x14ac:dyDescent="0.2">
      <c r="B126" s="194">
        <v>83</v>
      </c>
      <c r="C126" s="195">
        <v>14</v>
      </c>
      <c r="D126" s="195" t="s">
        <v>2745</v>
      </c>
      <c r="E126" s="196" t="s">
        <v>1919</v>
      </c>
      <c r="F126" s="194" t="s">
        <v>397</v>
      </c>
      <c r="G126" s="195">
        <v>105532812</v>
      </c>
      <c r="H126" s="195" t="s">
        <v>40</v>
      </c>
      <c r="I126" s="195" t="s">
        <v>25</v>
      </c>
      <c r="J126" s="195" t="s">
        <v>398</v>
      </c>
      <c r="K126" s="197">
        <v>1.06865409332239</v>
      </c>
      <c r="L126" s="197">
        <v>1.0200000000000001E-2</v>
      </c>
      <c r="M126" s="217">
        <v>7.7729999999999999E-11</v>
      </c>
      <c r="N126" s="391">
        <v>0</v>
      </c>
      <c r="O126" s="201">
        <v>0.59379999999999999</v>
      </c>
      <c r="P126" s="194" t="s">
        <v>22</v>
      </c>
      <c r="Q126" s="195" t="s">
        <v>23</v>
      </c>
      <c r="R126" s="195" t="s">
        <v>23</v>
      </c>
      <c r="S126" s="195" t="s">
        <v>23</v>
      </c>
      <c r="T126" s="195" t="s">
        <v>23</v>
      </c>
      <c r="U126" s="197" t="s">
        <v>23</v>
      </c>
      <c r="V126" s="197" t="s">
        <v>23</v>
      </c>
      <c r="W126" s="217" t="s">
        <v>23</v>
      </c>
      <c r="X126" s="391" t="s">
        <v>23</v>
      </c>
      <c r="Y126" s="201" t="s">
        <v>23</v>
      </c>
      <c r="Z126" s="199">
        <v>1</v>
      </c>
      <c r="AA126" s="194" t="s">
        <v>397</v>
      </c>
      <c r="AB126" s="195">
        <v>105532812</v>
      </c>
      <c r="AC126" s="195" t="s">
        <v>25</v>
      </c>
      <c r="AD126" s="197">
        <v>0.93575648682638701</v>
      </c>
      <c r="AE126" s="197">
        <v>1.0201999999999999E-2</v>
      </c>
      <c r="AF126" s="198">
        <v>7.5906000000000004E-11</v>
      </c>
      <c r="AG126" s="200">
        <v>52</v>
      </c>
      <c r="AH126" s="217" t="s">
        <v>399</v>
      </c>
      <c r="AI126" s="201">
        <v>5.9415490000000001E-2</v>
      </c>
      <c r="AJ126" s="202" t="s">
        <v>38</v>
      </c>
      <c r="AK126" s="203" t="s">
        <v>28</v>
      </c>
    </row>
    <row r="127" spans="2:37" ht="17" x14ac:dyDescent="0.2">
      <c r="B127" s="130">
        <v>84</v>
      </c>
      <c r="C127" s="131">
        <v>15</v>
      </c>
      <c r="D127" s="131" t="s">
        <v>2746</v>
      </c>
      <c r="E127" s="132" t="s">
        <v>1920</v>
      </c>
      <c r="F127" s="130" t="s">
        <v>400</v>
      </c>
      <c r="G127" s="131">
        <v>31637569</v>
      </c>
      <c r="H127" s="131" t="s">
        <v>20</v>
      </c>
      <c r="I127" s="131" t="s">
        <v>25</v>
      </c>
      <c r="J127" s="131" t="s">
        <v>401</v>
      </c>
      <c r="K127" s="204">
        <v>0.93062395355359595</v>
      </c>
      <c r="L127" s="204">
        <v>1.24E-2</v>
      </c>
      <c r="M127" s="207">
        <v>6.8320000000000004E-9</v>
      </c>
      <c r="N127" s="392">
        <v>31.8</v>
      </c>
      <c r="O127" s="208">
        <v>9.6149999999999999E-2</v>
      </c>
      <c r="P127" s="130" t="s">
        <v>22</v>
      </c>
      <c r="Q127" s="131" t="s">
        <v>23</v>
      </c>
      <c r="R127" s="131" t="s">
        <v>23</v>
      </c>
      <c r="S127" s="131" t="s">
        <v>23</v>
      </c>
      <c r="T127" s="131" t="s">
        <v>23</v>
      </c>
      <c r="U127" s="204" t="s">
        <v>23</v>
      </c>
      <c r="V127" s="204" t="s">
        <v>23</v>
      </c>
      <c r="W127" s="207" t="s">
        <v>23</v>
      </c>
      <c r="X127" s="392" t="s">
        <v>23</v>
      </c>
      <c r="Y127" s="208" t="s">
        <v>23</v>
      </c>
      <c r="Z127" s="205">
        <v>1</v>
      </c>
      <c r="AA127" s="130" t="s">
        <v>400</v>
      </c>
      <c r="AB127" s="131">
        <v>31637569</v>
      </c>
      <c r="AC127" s="131" t="s">
        <v>20</v>
      </c>
      <c r="AD127" s="204">
        <v>0.93062395355359595</v>
      </c>
      <c r="AE127" s="204">
        <v>1.2402E-2</v>
      </c>
      <c r="AF127" s="133">
        <v>6.73237E-9</v>
      </c>
      <c r="AG127" s="206">
        <v>3</v>
      </c>
      <c r="AH127" s="207" t="s">
        <v>402</v>
      </c>
      <c r="AI127" s="208">
        <v>0.46738625299999997</v>
      </c>
      <c r="AJ127" s="209" t="s">
        <v>403</v>
      </c>
      <c r="AK127" s="210" t="s">
        <v>28</v>
      </c>
    </row>
    <row r="128" spans="2:37" ht="17" x14ac:dyDescent="0.2">
      <c r="B128" s="194">
        <v>85</v>
      </c>
      <c r="C128" s="195">
        <v>15</v>
      </c>
      <c r="D128" s="195" t="s">
        <v>2747</v>
      </c>
      <c r="E128" s="196" t="s">
        <v>1921</v>
      </c>
      <c r="F128" s="194" t="s">
        <v>404</v>
      </c>
      <c r="G128" s="195">
        <v>70032794</v>
      </c>
      <c r="H128" s="195" t="s">
        <v>40</v>
      </c>
      <c r="I128" s="195" t="s">
        <v>25</v>
      </c>
      <c r="J128" s="195" t="s">
        <v>405</v>
      </c>
      <c r="K128" s="197">
        <v>0.91438826512430504</v>
      </c>
      <c r="L128" s="197">
        <v>1.5699999999999999E-2</v>
      </c>
      <c r="M128" s="217">
        <v>1.088E-8</v>
      </c>
      <c r="N128" s="391">
        <v>44.6</v>
      </c>
      <c r="O128" s="201">
        <v>2.1780000000000001E-2</v>
      </c>
      <c r="P128" s="194" t="s">
        <v>22</v>
      </c>
      <c r="Q128" s="195" t="s">
        <v>23</v>
      </c>
      <c r="R128" s="195" t="s">
        <v>23</v>
      </c>
      <c r="S128" s="195" t="s">
        <v>23</v>
      </c>
      <c r="T128" s="195" t="s">
        <v>23</v>
      </c>
      <c r="U128" s="197" t="s">
        <v>23</v>
      </c>
      <c r="V128" s="197" t="s">
        <v>23</v>
      </c>
      <c r="W128" s="217" t="s">
        <v>23</v>
      </c>
      <c r="X128" s="391" t="s">
        <v>23</v>
      </c>
      <c r="Y128" s="201" t="s">
        <v>23</v>
      </c>
      <c r="Z128" s="199">
        <v>1</v>
      </c>
      <c r="AA128" s="194" t="s">
        <v>406</v>
      </c>
      <c r="AB128" s="195">
        <v>70033664</v>
      </c>
      <c r="AC128" s="195" t="s">
        <v>19</v>
      </c>
      <c r="AD128" s="197">
        <v>0.91447970852291105</v>
      </c>
      <c r="AE128" s="197">
        <v>1.56023E-2</v>
      </c>
      <c r="AF128" s="198">
        <v>1.0048199999999999E-8</v>
      </c>
      <c r="AG128" s="200">
        <v>42</v>
      </c>
      <c r="AH128" s="217" t="s">
        <v>407</v>
      </c>
      <c r="AI128" s="201">
        <v>4.3449764000000002E-2</v>
      </c>
      <c r="AJ128" s="202" t="s">
        <v>38</v>
      </c>
      <c r="AK128" s="203" t="s">
        <v>28</v>
      </c>
    </row>
    <row r="129" spans="2:37" ht="34" x14ac:dyDescent="0.2">
      <c r="B129" s="194">
        <v>86</v>
      </c>
      <c r="C129" s="195">
        <v>15</v>
      </c>
      <c r="D129" s="195" t="s">
        <v>2748</v>
      </c>
      <c r="E129" s="196" t="s">
        <v>1922</v>
      </c>
      <c r="F129" s="194" t="s">
        <v>408</v>
      </c>
      <c r="G129" s="195">
        <v>85673696</v>
      </c>
      <c r="H129" s="195" t="s">
        <v>40</v>
      </c>
      <c r="I129" s="195" t="s">
        <v>25</v>
      </c>
      <c r="J129" s="195" t="s">
        <v>409</v>
      </c>
      <c r="K129" s="197">
        <v>1.0533757425133601</v>
      </c>
      <c r="L129" s="197">
        <v>9.4000000000000004E-3</v>
      </c>
      <c r="M129" s="217">
        <v>3.6090000000000001E-8</v>
      </c>
      <c r="N129" s="391">
        <v>0</v>
      </c>
      <c r="O129" s="201">
        <v>0.73409999999999997</v>
      </c>
      <c r="P129" s="194" t="s">
        <v>22</v>
      </c>
      <c r="Q129" s="195" t="s">
        <v>23</v>
      </c>
      <c r="R129" s="195" t="s">
        <v>23</v>
      </c>
      <c r="S129" s="195" t="s">
        <v>23</v>
      </c>
      <c r="T129" s="195" t="s">
        <v>23</v>
      </c>
      <c r="U129" s="197" t="s">
        <v>23</v>
      </c>
      <c r="V129" s="197" t="s">
        <v>23</v>
      </c>
      <c r="W129" s="217" t="s">
        <v>23</v>
      </c>
      <c r="X129" s="391" t="s">
        <v>23</v>
      </c>
      <c r="Y129" s="201" t="s">
        <v>23</v>
      </c>
      <c r="Z129" s="199">
        <v>1</v>
      </c>
      <c r="AA129" s="194" t="s">
        <v>408</v>
      </c>
      <c r="AB129" s="195">
        <v>85673696</v>
      </c>
      <c r="AC129" s="195" t="s">
        <v>25</v>
      </c>
      <c r="AD129" s="197">
        <v>0.94932886684288997</v>
      </c>
      <c r="AE129" s="197">
        <v>9.4013599999999992E-3</v>
      </c>
      <c r="AF129" s="198">
        <v>3.1820399999999998E-8</v>
      </c>
      <c r="AG129" s="200">
        <v>235</v>
      </c>
      <c r="AH129" s="217" t="s">
        <v>410</v>
      </c>
      <c r="AI129" s="201">
        <v>0.51413647299999998</v>
      </c>
      <c r="AJ129" s="202" t="s">
        <v>38</v>
      </c>
      <c r="AK129" s="203" t="s">
        <v>1762</v>
      </c>
    </row>
    <row r="130" spans="2:37" ht="17" x14ac:dyDescent="0.2">
      <c r="B130" s="86">
        <v>87</v>
      </c>
      <c r="C130" s="87">
        <v>16</v>
      </c>
      <c r="D130" s="87" t="s">
        <v>2749</v>
      </c>
      <c r="E130" s="89" t="s">
        <v>1923</v>
      </c>
      <c r="F130" s="86" t="s">
        <v>411</v>
      </c>
      <c r="G130" s="87">
        <v>11344903</v>
      </c>
      <c r="H130" s="87" t="s">
        <v>19</v>
      </c>
      <c r="I130" s="87" t="s">
        <v>20</v>
      </c>
      <c r="J130" s="87" t="s">
        <v>412</v>
      </c>
      <c r="K130" s="88">
        <v>0.89915486115156296</v>
      </c>
      <c r="L130" s="88">
        <v>1.01E-2</v>
      </c>
      <c r="M130" s="184">
        <v>1.05E-25</v>
      </c>
      <c r="N130" s="90">
        <v>0</v>
      </c>
      <c r="O130" s="185">
        <v>0.54200000000000004</v>
      </c>
      <c r="P130" s="86" t="s">
        <v>22</v>
      </c>
      <c r="Q130" s="87" t="s">
        <v>23</v>
      </c>
      <c r="R130" s="87" t="s">
        <v>23</v>
      </c>
      <c r="S130" s="87" t="s">
        <v>23</v>
      </c>
      <c r="T130" s="87" t="s">
        <v>23</v>
      </c>
      <c r="U130" s="88" t="s">
        <v>23</v>
      </c>
      <c r="V130" s="88" t="s">
        <v>23</v>
      </c>
      <c r="W130" s="184" t="s">
        <v>23</v>
      </c>
      <c r="X130" s="90" t="s">
        <v>23</v>
      </c>
      <c r="Y130" s="185" t="s">
        <v>23</v>
      </c>
      <c r="Z130" s="182">
        <v>2</v>
      </c>
      <c r="AA130" s="86" t="s">
        <v>411</v>
      </c>
      <c r="AB130" s="87">
        <v>11344903</v>
      </c>
      <c r="AC130" s="87" t="s">
        <v>19</v>
      </c>
      <c r="AD130" s="88">
        <v>0.90281646184027198</v>
      </c>
      <c r="AE130" s="88">
        <v>1.01286E-2</v>
      </c>
      <c r="AF130" s="127">
        <v>5.8904100000000003E-24</v>
      </c>
      <c r="AG130" s="183">
        <v>3</v>
      </c>
      <c r="AH130" s="184" t="s">
        <v>413</v>
      </c>
      <c r="AI130" s="185">
        <v>0.72691665800000005</v>
      </c>
      <c r="AJ130" s="186" t="s">
        <v>414</v>
      </c>
      <c r="AK130" s="187" t="s">
        <v>28</v>
      </c>
    </row>
    <row r="131" spans="2:37" ht="17" x14ac:dyDescent="0.2">
      <c r="B131" s="75" t="s">
        <v>28</v>
      </c>
      <c r="C131" s="77" t="s">
        <v>28</v>
      </c>
      <c r="D131" s="77" t="s">
        <v>28</v>
      </c>
      <c r="E131" s="79" t="s">
        <v>28</v>
      </c>
      <c r="F131" s="75" t="s">
        <v>28</v>
      </c>
      <c r="G131" s="77" t="s">
        <v>28</v>
      </c>
      <c r="H131" s="77" t="s">
        <v>28</v>
      </c>
      <c r="I131" s="77" t="s">
        <v>28</v>
      </c>
      <c r="J131" s="77" t="s">
        <v>28</v>
      </c>
      <c r="K131" s="178" t="s">
        <v>28</v>
      </c>
      <c r="L131" s="178" t="s">
        <v>28</v>
      </c>
      <c r="M131" s="190" t="s">
        <v>28</v>
      </c>
      <c r="N131" s="114" t="s">
        <v>28</v>
      </c>
      <c r="O131" s="191" t="s">
        <v>28</v>
      </c>
      <c r="P131" s="75" t="s">
        <v>28</v>
      </c>
      <c r="Q131" s="77" t="s">
        <v>28</v>
      </c>
      <c r="R131" s="77" t="s">
        <v>28</v>
      </c>
      <c r="S131" s="77" t="s">
        <v>28</v>
      </c>
      <c r="T131" s="77" t="s">
        <v>28</v>
      </c>
      <c r="U131" s="178" t="s">
        <v>28</v>
      </c>
      <c r="V131" s="178" t="s">
        <v>28</v>
      </c>
      <c r="W131" s="190" t="s">
        <v>28</v>
      </c>
      <c r="X131" s="114" t="s">
        <v>28</v>
      </c>
      <c r="Y131" s="191" t="s">
        <v>28</v>
      </c>
      <c r="Z131" s="188" t="s">
        <v>28</v>
      </c>
      <c r="AA131" s="75" t="s">
        <v>415</v>
      </c>
      <c r="AB131" s="77">
        <v>11085968</v>
      </c>
      <c r="AC131" s="77" t="s">
        <v>19</v>
      </c>
      <c r="AD131" s="178">
        <v>0.94588479360966404</v>
      </c>
      <c r="AE131" s="178">
        <v>9.4236900000000002E-3</v>
      </c>
      <c r="AF131" s="129">
        <v>3.5546300000000002E-9</v>
      </c>
      <c r="AG131" s="189">
        <v>72</v>
      </c>
      <c r="AH131" s="190" t="s">
        <v>416</v>
      </c>
      <c r="AI131" s="191">
        <v>0.35765415900000003</v>
      </c>
      <c r="AJ131" s="192" t="s">
        <v>28</v>
      </c>
      <c r="AK131" s="193" t="s">
        <v>28</v>
      </c>
    </row>
    <row r="132" spans="2:37" ht="17" x14ac:dyDescent="0.2">
      <c r="B132" s="86">
        <v>88</v>
      </c>
      <c r="C132" s="87">
        <v>16</v>
      </c>
      <c r="D132" s="87" t="s">
        <v>2750</v>
      </c>
      <c r="E132" s="89" t="s">
        <v>1648</v>
      </c>
      <c r="F132" s="86" t="s">
        <v>417</v>
      </c>
      <c r="G132" s="87">
        <v>31000809</v>
      </c>
      <c r="H132" s="87" t="s">
        <v>40</v>
      </c>
      <c r="I132" s="87" t="s">
        <v>25</v>
      </c>
      <c r="J132" s="87" t="s">
        <v>412</v>
      </c>
      <c r="K132" s="88">
        <v>0.92783626531605801</v>
      </c>
      <c r="L132" s="88">
        <v>9.4000000000000004E-3</v>
      </c>
      <c r="M132" s="184">
        <v>1.2420000000000001E-15</v>
      </c>
      <c r="N132" s="90">
        <v>29.1</v>
      </c>
      <c r="O132" s="185">
        <v>0.12039999999999999</v>
      </c>
      <c r="P132" s="86" t="s">
        <v>22</v>
      </c>
      <c r="Q132" s="87" t="s">
        <v>23</v>
      </c>
      <c r="R132" s="87" t="s">
        <v>23</v>
      </c>
      <c r="S132" s="87" t="s">
        <v>23</v>
      </c>
      <c r="T132" s="87" t="s">
        <v>23</v>
      </c>
      <c r="U132" s="88" t="s">
        <v>23</v>
      </c>
      <c r="V132" s="88" t="s">
        <v>23</v>
      </c>
      <c r="W132" s="184" t="s">
        <v>23</v>
      </c>
      <c r="X132" s="90" t="s">
        <v>23</v>
      </c>
      <c r="Y132" s="185" t="s">
        <v>23</v>
      </c>
      <c r="Z132" s="182">
        <v>2</v>
      </c>
      <c r="AA132" s="86" t="s">
        <v>418</v>
      </c>
      <c r="AB132" s="87">
        <v>30999142</v>
      </c>
      <c r="AC132" s="87" t="s">
        <v>25</v>
      </c>
      <c r="AD132" s="88">
        <v>0.92874710504448099</v>
      </c>
      <c r="AE132" s="88">
        <v>9.3029600000000007E-3</v>
      </c>
      <c r="AF132" s="127">
        <v>1.93054E-15</v>
      </c>
      <c r="AG132" s="183">
        <v>95</v>
      </c>
      <c r="AH132" s="184" t="s">
        <v>419</v>
      </c>
      <c r="AI132" s="185">
        <v>3.1592751000000002E-2</v>
      </c>
      <c r="AJ132" s="186" t="s">
        <v>420</v>
      </c>
      <c r="AK132" s="187" t="s">
        <v>28</v>
      </c>
    </row>
    <row r="133" spans="2:37" ht="17" x14ac:dyDescent="0.2">
      <c r="B133" s="75" t="s">
        <v>28</v>
      </c>
      <c r="C133" s="77" t="s">
        <v>28</v>
      </c>
      <c r="D133" s="77" t="s">
        <v>28</v>
      </c>
      <c r="E133" s="79" t="s">
        <v>28</v>
      </c>
      <c r="F133" s="75" t="s">
        <v>28</v>
      </c>
      <c r="G133" s="77" t="s">
        <v>28</v>
      </c>
      <c r="H133" s="77" t="s">
        <v>28</v>
      </c>
      <c r="I133" s="77" t="s">
        <v>28</v>
      </c>
      <c r="J133" s="77" t="s">
        <v>28</v>
      </c>
      <c r="K133" s="178" t="s">
        <v>28</v>
      </c>
      <c r="L133" s="178" t="s">
        <v>28</v>
      </c>
      <c r="M133" s="190" t="s">
        <v>28</v>
      </c>
      <c r="N133" s="114" t="s">
        <v>28</v>
      </c>
      <c r="O133" s="191" t="s">
        <v>28</v>
      </c>
      <c r="P133" s="75" t="s">
        <v>28</v>
      </c>
      <c r="Q133" s="77" t="s">
        <v>28</v>
      </c>
      <c r="R133" s="77" t="s">
        <v>28</v>
      </c>
      <c r="S133" s="77" t="s">
        <v>28</v>
      </c>
      <c r="T133" s="77" t="s">
        <v>28</v>
      </c>
      <c r="U133" s="178" t="s">
        <v>28</v>
      </c>
      <c r="V133" s="178" t="s">
        <v>28</v>
      </c>
      <c r="W133" s="190" t="s">
        <v>28</v>
      </c>
      <c r="X133" s="114" t="s">
        <v>28</v>
      </c>
      <c r="Y133" s="191" t="s">
        <v>28</v>
      </c>
      <c r="Z133" s="188" t="s">
        <v>28</v>
      </c>
      <c r="AA133" s="75" t="s">
        <v>421</v>
      </c>
      <c r="AB133" s="77">
        <v>28272373</v>
      </c>
      <c r="AC133" s="77" t="s">
        <v>19</v>
      </c>
      <c r="AD133" s="178">
        <v>1.06547733433209</v>
      </c>
      <c r="AE133" s="178">
        <v>1.06023E-2</v>
      </c>
      <c r="AF133" s="129">
        <v>2.2040800000000001E-9</v>
      </c>
      <c r="AG133" s="189">
        <v>3</v>
      </c>
      <c r="AH133" s="190" t="s">
        <v>422</v>
      </c>
      <c r="AI133" s="191">
        <v>0.41269178400000001</v>
      </c>
      <c r="AJ133" s="192" t="s">
        <v>28</v>
      </c>
      <c r="AK133" s="193" t="s">
        <v>28</v>
      </c>
    </row>
    <row r="134" spans="2:37" ht="17" x14ac:dyDescent="0.2">
      <c r="B134" s="194">
        <v>89</v>
      </c>
      <c r="C134" s="195">
        <v>17</v>
      </c>
      <c r="D134" s="195" t="s">
        <v>2751</v>
      </c>
      <c r="E134" s="196" t="s">
        <v>1660</v>
      </c>
      <c r="F134" s="194" t="s">
        <v>423</v>
      </c>
      <c r="G134" s="195">
        <v>4559281</v>
      </c>
      <c r="H134" s="195" t="s">
        <v>424</v>
      </c>
      <c r="I134" s="195" t="s">
        <v>20</v>
      </c>
      <c r="J134" s="195" t="s">
        <v>425</v>
      </c>
      <c r="K134" s="197">
        <v>0.93015875788542801</v>
      </c>
      <c r="L134" s="197">
        <v>1.29E-2</v>
      </c>
      <c r="M134" s="217">
        <v>2.145E-8</v>
      </c>
      <c r="N134" s="391">
        <v>0</v>
      </c>
      <c r="O134" s="201">
        <v>0.5958</v>
      </c>
      <c r="P134" s="194" t="s">
        <v>426</v>
      </c>
      <c r="Q134" s="195">
        <v>4610727</v>
      </c>
      <c r="R134" s="195" t="s">
        <v>40</v>
      </c>
      <c r="S134" s="195" t="s">
        <v>427</v>
      </c>
      <c r="T134" s="195" t="s">
        <v>428</v>
      </c>
      <c r="U134" s="197">
        <v>0.93931912620410296</v>
      </c>
      <c r="V134" s="197">
        <v>1.1299999999999999E-2</v>
      </c>
      <c r="W134" s="217">
        <v>2.9539999999999998E-8</v>
      </c>
      <c r="X134" s="391">
        <v>0</v>
      </c>
      <c r="Y134" s="201">
        <v>0.95779999999999998</v>
      </c>
      <c r="Z134" s="199">
        <v>1</v>
      </c>
      <c r="AA134" s="194" t="s">
        <v>426</v>
      </c>
      <c r="AB134" s="195">
        <v>4610727</v>
      </c>
      <c r="AC134" s="195" t="s">
        <v>427</v>
      </c>
      <c r="AD134" s="197">
        <v>1.0646009136864001</v>
      </c>
      <c r="AE134" s="197">
        <v>1.1301800000000001E-2</v>
      </c>
      <c r="AF134" s="198">
        <v>3.04345E-8</v>
      </c>
      <c r="AG134" s="200">
        <v>126</v>
      </c>
      <c r="AH134" s="217" t="s">
        <v>429</v>
      </c>
      <c r="AI134" s="201">
        <v>4.4219938E-2</v>
      </c>
      <c r="AJ134" s="202" t="s">
        <v>38</v>
      </c>
      <c r="AK134" s="203" t="s">
        <v>28</v>
      </c>
    </row>
    <row r="135" spans="2:37" ht="17" x14ac:dyDescent="0.2">
      <c r="B135" s="86">
        <v>90</v>
      </c>
      <c r="C135" s="87">
        <v>17</v>
      </c>
      <c r="D135" s="87" t="s">
        <v>2752</v>
      </c>
      <c r="E135" s="89" t="s">
        <v>1834</v>
      </c>
      <c r="F135" s="86" t="s">
        <v>430</v>
      </c>
      <c r="G135" s="87">
        <v>26124908</v>
      </c>
      <c r="H135" s="87" t="s">
        <v>40</v>
      </c>
      <c r="I135" s="87" t="s">
        <v>25</v>
      </c>
      <c r="J135" s="87" t="s">
        <v>51</v>
      </c>
      <c r="K135" s="88">
        <v>1.1742151887886101</v>
      </c>
      <c r="L135" s="88">
        <v>1.2999999999999999E-2</v>
      </c>
      <c r="M135" s="184">
        <v>4.2039999999999998E-35</v>
      </c>
      <c r="N135" s="90">
        <v>55.8</v>
      </c>
      <c r="O135" s="185">
        <v>2.0969999999999999E-3</v>
      </c>
      <c r="P135" s="86" t="s">
        <v>22</v>
      </c>
      <c r="Q135" s="87" t="s">
        <v>23</v>
      </c>
      <c r="R135" s="87" t="s">
        <v>23</v>
      </c>
      <c r="S135" s="87" t="s">
        <v>23</v>
      </c>
      <c r="T135" s="87" t="s">
        <v>23</v>
      </c>
      <c r="U135" s="88" t="s">
        <v>23</v>
      </c>
      <c r="V135" s="88" t="s">
        <v>23</v>
      </c>
      <c r="W135" s="184" t="s">
        <v>23</v>
      </c>
      <c r="X135" s="90" t="s">
        <v>23</v>
      </c>
      <c r="Y135" s="185" t="s">
        <v>23</v>
      </c>
      <c r="Z135" s="182">
        <v>3</v>
      </c>
      <c r="AA135" s="86" t="s">
        <v>430</v>
      </c>
      <c r="AB135" s="87">
        <v>26124908</v>
      </c>
      <c r="AC135" s="87" t="s">
        <v>40</v>
      </c>
      <c r="AD135" s="88">
        <v>1.20612651808004</v>
      </c>
      <c r="AE135" s="88">
        <v>1.33261E-2</v>
      </c>
      <c r="AF135" s="127">
        <v>6.3473199999999999E-45</v>
      </c>
      <c r="AG135" s="183">
        <v>1</v>
      </c>
      <c r="AH135" s="184" t="s">
        <v>431</v>
      </c>
      <c r="AI135" s="185">
        <v>1</v>
      </c>
      <c r="AJ135" s="186" t="s">
        <v>432</v>
      </c>
      <c r="AK135" s="187" t="s">
        <v>28</v>
      </c>
    </row>
    <row r="136" spans="2:37" ht="17" x14ac:dyDescent="0.2">
      <c r="B136" s="66" t="s">
        <v>28</v>
      </c>
      <c r="C136" s="67" t="s">
        <v>28</v>
      </c>
      <c r="D136" s="67" t="s">
        <v>28</v>
      </c>
      <c r="E136" s="69" t="s">
        <v>28</v>
      </c>
      <c r="F136" s="66" t="s">
        <v>28</v>
      </c>
      <c r="G136" s="67" t="s">
        <v>28</v>
      </c>
      <c r="H136" s="67" t="s">
        <v>28</v>
      </c>
      <c r="I136" s="67" t="s">
        <v>28</v>
      </c>
      <c r="J136" s="67" t="s">
        <v>28</v>
      </c>
      <c r="K136" s="68" t="s">
        <v>28</v>
      </c>
      <c r="L136" s="68" t="s">
        <v>28</v>
      </c>
      <c r="M136" s="213" t="s">
        <v>28</v>
      </c>
      <c r="N136" s="80" t="s">
        <v>28</v>
      </c>
      <c r="O136" s="214" t="s">
        <v>28</v>
      </c>
      <c r="P136" s="66" t="s">
        <v>28</v>
      </c>
      <c r="Q136" s="67" t="s">
        <v>28</v>
      </c>
      <c r="R136" s="67" t="s">
        <v>28</v>
      </c>
      <c r="S136" s="67" t="s">
        <v>28</v>
      </c>
      <c r="T136" s="67" t="s">
        <v>28</v>
      </c>
      <c r="U136" s="68" t="s">
        <v>28</v>
      </c>
      <c r="V136" s="68" t="s">
        <v>28</v>
      </c>
      <c r="W136" s="213" t="s">
        <v>28</v>
      </c>
      <c r="X136" s="80" t="s">
        <v>28</v>
      </c>
      <c r="Y136" s="214" t="s">
        <v>28</v>
      </c>
      <c r="Z136" s="211" t="s">
        <v>28</v>
      </c>
      <c r="AA136" s="66" t="s">
        <v>433</v>
      </c>
      <c r="AB136" s="67">
        <v>26127832</v>
      </c>
      <c r="AC136" s="67" t="s">
        <v>20</v>
      </c>
      <c r="AD136" s="68">
        <v>1.10671924093406</v>
      </c>
      <c r="AE136" s="68">
        <v>9.6616700000000007E-3</v>
      </c>
      <c r="AF136" s="128">
        <v>9.1006199999999996E-26</v>
      </c>
      <c r="AG136" s="212">
        <v>2</v>
      </c>
      <c r="AH136" s="213" t="s">
        <v>434</v>
      </c>
      <c r="AI136" s="214">
        <v>0.608533675</v>
      </c>
      <c r="AJ136" s="215" t="s">
        <v>28</v>
      </c>
      <c r="AK136" s="216" t="s">
        <v>28</v>
      </c>
    </row>
    <row r="137" spans="2:37" ht="17" x14ac:dyDescent="0.2">
      <c r="B137" s="75" t="s">
        <v>28</v>
      </c>
      <c r="C137" s="77" t="s">
        <v>28</v>
      </c>
      <c r="D137" s="77" t="s">
        <v>28</v>
      </c>
      <c r="E137" s="79" t="s">
        <v>28</v>
      </c>
      <c r="F137" s="75" t="s">
        <v>28</v>
      </c>
      <c r="G137" s="77" t="s">
        <v>28</v>
      </c>
      <c r="H137" s="77" t="s">
        <v>28</v>
      </c>
      <c r="I137" s="77" t="s">
        <v>28</v>
      </c>
      <c r="J137" s="77" t="s">
        <v>28</v>
      </c>
      <c r="K137" s="178" t="s">
        <v>28</v>
      </c>
      <c r="L137" s="178" t="s">
        <v>28</v>
      </c>
      <c r="M137" s="190" t="s">
        <v>28</v>
      </c>
      <c r="N137" s="114" t="s">
        <v>28</v>
      </c>
      <c r="O137" s="191" t="s">
        <v>28</v>
      </c>
      <c r="P137" s="75" t="s">
        <v>28</v>
      </c>
      <c r="Q137" s="77" t="s">
        <v>28</v>
      </c>
      <c r="R137" s="77" t="s">
        <v>28</v>
      </c>
      <c r="S137" s="77" t="s">
        <v>28</v>
      </c>
      <c r="T137" s="77" t="s">
        <v>28</v>
      </c>
      <c r="U137" s="178" t="s">
        <v>28</v>
      </c>
      <c r="V137" s="178" t="s">
        <v>28</v>
      </c>
      <c r="W137" s="190" t="s">
        <v>28</v>
      </c>
      <c r="X137" s="114" t="s">
        <v>28</v>
      </c>
      <c r="Y137" s="191" t="s">
        <v>28</v>
      </c>
      <c r="Z137" s="188" t="s">
        <v>28</v>
      </c>
      <c r="AA137" s="75" t="s">
        <v>435</v>
      </c>
      <c r="AB137" s="77">
        <v>26180739</v>
      </c>
      <c r="AC137" s="77" t="s">
        <v>25</v>
      </c>
      <c r="AD137" s="178">
        <v>0.94711012905196601</v>
      </c>
      <c r="AE137" s="178">
        <v>9.2426999999999995E-3</v>
      </c>
      <c r="AF137" s="129">
        <v>4.1219799999999999E-9</v>
      </c>
      <c r="AG137" s="189">
        <v>43</v>
      </c>
      <c r="AH137" s="190" t="s">
        <v>436</v>
      </c>
      <c r="AI137" s="191">
        <v>0.104935444</v>
      </c>
      <c r="AJ137" s="192" t="s">
        <v>28</v>
      </c>
      <c r="AK137" s="193" t="s">
        <v>28</v>
      </c>
    </row>
    <row r="138" spans="2:37" ht="17" x14ac:dyDescent="0.2">
      <c r="B138" s="86">
        <v>91</v>
      </c>
      <c r="C138" s="87">
        <v>17</v>
      </c>
      <c r="D138" s="87" t="s">
        <v>2753</v>
      </c>
      <c r="E138" s="89" t="s">
        <v>1664</v>
      </c>
      <c r="F138" s="86" t="s">
        <v>437</v>
      </c>
      <c r="G138" s="87">
        <v>40270062</v>
      </c>
      <c r="H138" s="87" t="s">
        <v>19</v>
      </c>
      <c r="I138" s="87" t="s">
        <v>20</v>
      </c>
      <c r="J138" s="87" t="s">
        <v>356</v>
      </c>
      <c r="K138" s="88">
        <v>1.1911270979467301</v>
      </c>
      <c r="L138" s="88">
        <v>2.24E-2</v>
      </c>
      <c r="M138" s="184">
        <v>6.4229999999999996E-15</v>
      </c>
      <c r="N138" s="90">
        <v>17.3</v>
      </c>
      <c r="O138" s="185">
        <v>0.25130000000000002</v>
      </c>
      <c r="P138" s="86" t="s">
        <v>438</v>
      </c>
      <c r="Q138" s="87">
        <v>40499198</v>
      </c>
      <c r="R138" s="87" t="s">
        <v>40</v>
      </c>
      <c r="S138" s="87" t="s">
        <v>25</v>
      </c>
      <c r="T138" s="87" t="s">
        <v>247</v>
      </c>
      <c r="U138" s="88">
        <v>0.93678638530221003</v>
      </c>
      <c r="V138" s="88">
        <v>9.5999999999999992E-3</v>
      </c>
      <c r="W138" s="184">
        <v>1.0299999999999999E-11</v>
      </c>
      <c r="X138" s="90">
        <v>28.5</v>
      </c>
      <c r="Y138" s="185">
        <v>0.12570000000000001</v>
      </c>
      <c r="Z138" s="182">
        <v>3</v>
      </c>
      <c r="AA138" s="86" t="s">
        <v>439</v>
      </c>
      <c r="AB138" s="87">
        <v>40541608</v>
      </c>
      <c r="AC138" s="87" t="s">
        <v>40</v>
      </c>
      <c r="AD138" s="88">
        <v>0.93272804974141099</v>
      </c>
      <c r="AE138" s="88">
        <v>9.6237200000000005E-3</v>
      </c>
      <c r="AF138" s="127">
        <v>4.6057199999999997E-13</v>
      </c>
      <c r="AG138" s="183">
        <v>28</v>
      </c>
      <c r="AH138" s="184" t="s">
        <v>440</v>
      </c>
      <c r="AI138" s="185">
        <v>4.9460915000000001E-2</v>
      </c>
      <c r="AJ138" s="186" t="s">
        <v>441</v>
      </c>
      <c r="AK138" s="187" t="s">
        <v>28</v>
      </c>
    </row>
    <row r="139" spans="2:37" ht="17" x14ac:dyDescent="0.2">
      <c r="B139" s="66" t="s">
        <v>28</v>
      </c>
      <c r="C139" s="67" t="s">
        <v>28</v>
      </c>
      <c r="D139" s="67" t="s">
        <v>28</v>
      </c>
      <c r="E139" s="69" t="s">
        <v>28</v>
      </c>
      <c r="F139" s="66" t="s">
        <v>28</v>
      </c>
      <c r="G139" s="67" t="s">
        <v>28</v>
      </c>
      <c r="H139" s="67" t="s">
        <v>28</v>
      </c>
      <c r="I139" s="67" t="s">
        <v>28</v>
      </c>
      <c r="J139" s="67" t="s">
        <v>28</v>
      </c>
      <c r="K139" s="68" t="s">
        <v>28</v>
      </c>
      <c r="L139" s="68" t="s">
        <v>28</v>
      </c>
      <c r="M139" s="213" t="s">
        <v>28</v>
      </c>
      <c r="N139" s="80" t="s">
        <v>28</v>
      </c>
      <c r="O139" s="214" t="s">
        <v>28</v>
      </c>
      <c r="P139" s="66" t="s">
        <v>28</v>
      </c>
      <c r="Q139" s="67" t="s">
        <v>28</v>
      </c>
      <c r="R139" s="67" t="s">
        <v>28</v>
      </c>
      <c r="S139" s="67" t="s">
        <v>28</v>
      </c>
      <c r="T139" s="67" t="s">
        <v>28</v>
      </c>
      <c r="U139" s="68" t="s">
        <v>28</v>
      </c>
      <c r="V139" s="68" t="s">
        <v>28</v>
      </c>
      <c r="W139" s="213" t="s">
        <v>28</v>
      </c>
      <c r="X139" s="80" t="s">
        <v>28</v>
      </c>
      <c r="Y139" s="214" t="s">
        <v>28</v>
      </c>
      <c r="Z139" s="211" t="s">
        <v>28</v>
      </c>
      <c r="AA139" s="66" t="s">
        <v>442</v>
      </c>
      <c r="AB139" s="67">
        <v>40302271</v>
      </c>
      <c r="AC139" s="67" t="s">
        <v>25</v>
      </c>
      <c r="AD139" s="68">
        <v>0.86316708252864205</v>
      </c>
      <c r="AE139" s="68">
        <v>2.0750999999999999E-2</v>
      </c>
      <c r="AF139" s="128">
        <v>1.33082E-12</v>
      </c>
      <c r="AG139" s="212">
        <v>22</v>
      </c>
      <c r="AH139" s="213" t="s">
        <v>443</v>
      </c>
      <c r="AI139" s="214">
        <v>7.6984940000000002E-2</v>
      </c>
      <c r="AJ139" s="215" t="s">
        <v>28</v>
      </c>
      <c r="AK139" s="216" t="s">
        <v>28</v>
      </c>
    </row>
    <row r="140" spans="2:37" ht="17" x14ac:dyDescent="0.2">
      <c r="B140" s="75" t="s">
        <v>28</v>
      </c>
      <c r="C140" s="77" t="s">
        <v>28</v>
      </c>
      <c r="D140" s="77" t="s">
        <v>28</v>
      </c>
      <c r="E140" s="79" t="s">
        <v>28</v>
      </c>
      <c r="F140" s="75" t="s">
        <v>28</v>
      </c>
      <c r="G140" s="77" t="s">
        <v>28</v>
      </c>
      <c r="H140" s="77" t="s">
        <v>28</v>
      </c>
      <c r="I140" s="77" t="s">
        <v>28</v>
      </c>
      <c r="J140" s="77" t="s">
        <v>28</v>
      </c>
      <c r="K140" s="178" t="s">
        <v>28</v>
      </c>
      <c r="L140" s="178" t="s">
        <v>28</v>
      </c>
      <c r="M140" s="190" t="s">
        <v>28</v>
      </c>
      <c r="N140" s="114" t="s">
        <v>28</v>
      </c>
      <c r="O140" s="191" t="s">
        <v>28</v>
      </c>
      <c r="P140" s="75" t="s">
        <v>28</v>
      </c>
      <c r="Q140" s="77" t="s">
        <v>28</v>
      </c>
      <c r="R140" s="77" t="s">
        <v>28</v>
      </c>
      <c r="S140" s="77" t="s">
        <v>28</v>
      </c>
      <c r="T140" s="77" t="s">
        <v>28</v>
      </c>
      <c r="U140" s="178" t="s">
        <v>28</v>
      </c>
      <c r="V140" s="178" t="s">
        <v>28</v>
      </c>
      <c r="W140" s="190" t="s">
        <v>28</v>
      </c>
      <c r="X140" s="114" t="s">
        <v>28</v>
      </c>
      <c r="Y140" s="191" t="s">
        <v>28</v>
      </c>
      <c r="Z140" s="188" t="s">
        <v>28</v>
      </c>
      <c r="AA140" s="75" t="s">
        <v>444</v>
      </c>
      <c r="AB140" s="77">
        <v>43359891</v>
      </c>
      <c r="AC140" s="77" t="s">
        <v>20</v>
      </c>
      <c r="AD140" s="178">
        <v>0.93696036268726002</v>
      </c>
      <c r="AE140" s="178">
        <v>1.1602100000000001E-2</v>
      </c>
      <c r="AF140" s="129">
        <v>1.9964599999999999E-8</v>
      </c>
      <c r="AG140" s="189">
        <v>1939</v>
      </c>
      <c r="AH140" s="190" t="s">
        <v>445</v>
      </c>
      <c r="AI140" s="191">
        <v>0.18119260100000001</v>
      </c>
      <c r="AJ140" s="192" t="s">
        <v>28</v>
      </c>
      <c r="AK140" s="193" t="s">
        <v>28</v>
      </c>
    </row>
    <row r="141" spans="2:37" ht="17" x14ac:dyDescent="0.2">
      <c r="B141" s="130">
        <v>92</v>
      </c>
      <c r="C141" s="131">
        <v>17</v>
      </c>
      <c r="D141" s="131" t="s">
        <v>2754</v>
      </c>
      <c r="E141" s="132" t="s">
        <v>1924</v>
      </c>
      <c r="F141" s="130" t="s">
        <v>446</v>
      </c>
      <c r="G141" s="131">
        <v>73801480</v>
      </c>
      <c r="H141" s="131" t="s">
        <v>25</v>
      </c>
      <c r="I141" s="131" t="s">
        <v>447</v>
      </c>
      <c r="J141" s="131" t="s">
        <v>448</v>
      </c>
      <c r="K141" s="204">
        <v>1.12198563052525</v>
      </c>
      <c r="L141" s="204">
        <v>1.38E-2</v>
      </c>
      <c r="M141" s="207">
        <v>6.42E-17</v>
      </c>
      <c r="N141" s="392">
        <v>0</v>
      </c>
      <c r="O141" s="208">
        <v>0.83899999999999997</v>
      </c>
      <c r="P141" s="130" t="s">
        <v>449</v>
      </c>
      <c r="Q141" s="131">
        <v>73822583</v>
      </c>
      <c r="R141" s="131" t="s">
        <v>40</v>
      </c>
      <c r="S141" s="131" t="s">
        <v>20</v>
      </c>
      <c r="T141" s="131" t="s">
        <v>450</v>
      </c>
      <c r="U141" s="204">
        <v>1.1082697329625399</v>
      </c>
      <c r="V141" s="204">
        <v>1.2699999999999999E-2</v>
      </c>
      <c r="W141" s="207">
        <v>5.6460000000000004E-16</v>
      </c>
      <c r="X141" s="392">
        <v>0</v>
      </c>
      <c r="Y141" s="208">
        <v>0.85150000000000003</v>
      </c>
      <c r="Z141" s="205">
        <v>1</v>
      </c>
      <c r="AA141" s="130" t="s">
        <v>449</v>
      </c>
      <c r="AB141" s="131">
        <v>73822583</v>
      </c>
      <c r="AC141" s="131" t="s">
        <v>40</v>
      </c>
      <c r="AD141" s="204">
        <v>1.1082697329625399</v>
      </c>
      <c r="AE141" s="204">
        <v>1.2703900000000001E-2</v>
      </c>
      <c r="AF141" s="133">
        <v>5.8696599999999998E-16</v>
      </c>
      <c r="AG141" s="206">
        <v>10</v>
      </c>
      <c r="AH141" s="207" t="s">
        <v>451</v>
      </c>
      <c r="AI141" s="208">
        <v>0.27724687199999998</v>
      </c>
      <c r="AJ141" s="209" t="s">
        <v>452</v>
      </c>
      <c r="AK141" s="210" t="s">
        <v>28</v>
      </c>
    </row>
    <row r="142" spans="2:37" ht="17" x14ac:dyDescent="0.2">
      <c r="B142" s="130">
        <v>93</v>
      </c>
      <c r="C142" s="131">
        <v>17</v>
      </c>
      <c r="D142" s="131" t="s">
        <v>2755</v>
      </c>
      <c r="E142" s="132" t="s">
        <v>1700</v>
      </c>
      <c r="F142" s="130" t="s">
        <v>453</v>
      </c>
      <c r="G142" s="131">
        <v>78178830</v>
      </c>
      <c r="H142" s="131" t="s">
        <v>40</v>
      </c>
      <c r="I142" s="131" t="s">
        <v>25</v>
      </c>
      <c r="J142" s="131" t="s">
        <v>454</v>
      </c>
      <c r="K142" s="204">
        <v>1.0829621302976999</v>
      </c>
      <c r="L142" s="204">
        <v>9.1000000000000004E-3</v>
      </c>
      <c r="M142" s="207">
        <v>2.4099999999999999E-18</v>
      </c>
      <c r="N142" s="392">
        <v>9.6999999999999993</v>
      </c>
      <c r="O142" s="208">
        <v>0.33850000000000002</v>
      </c>
      <c r="P142" s="130" t="s">
        <v>22</v>
      </c>
      <c r="Q142" s="131" t="s">
        <v>23</v>
      </c>
      <c r="R142" s="131" t="s">
        <v>23</v>
      </c>
      <c r="S142" s="131" t="s">
        <v>23</v>
      </c>
      <c r="T142" s="131" t="s">
        <v>23</v>
      </c>
      <c r="U142" s="204" t="s">
        <v>23</v>
      </c>
      <c r="V142" s="204" t="s">
        <v>23</v>
      </c>
      <c r="W142" s="207" t="s">
        <v>23</v>
      </c>
      <c r="X142" s="392" t="s">
        <v>23</v>
      </c>
      <c r="Y142" s="208" t="s">
        <v>23</v>
      </c>
      <c r="Z142" s="205">
        <v>1</v>
      </c>
      <c r="AA142" s="130" t="s">
        <v>453</v>
      </c>
      <c r="AB142" s="131">
        <v>78178830</v>
      </c>
      <c r="AC142" s="131" t="s">
        <v>25</v>
      </c>
      <c r="AD142" s="204">
        <v>0.92339332283494202</v>
      </c>
      <c r="AE142" s="204">
        <v>9.1032800000000001E-3</v>
      </c>
      <c r="AF142" s="133">
        <v>2.0394300000000001E-18</v>
      </c>
      <c r="AG142" s="206">
        <v>9</v>
      </c>
      <c r="AH142" s="207" t="s">
        <v>455</v>
      </c>
      <c r="AI142" s="208">
        <v>0.19348362899999999</v>
      </c>
      <c r="AJ142" s="209" t="s">
        <v>456</v>
      </c>
      <c r="AK142" s="210" t="s">
        <v>28</v>
      </c>
    </row>
    <row r="143" spans="2:37" ht="17" x14ac:dyDescent="0.2">
      <c r="B143" s="130">
        <v>94</v>
      </c>
      <c r="C143" s="131">
        <v>18</v>
      </c>
      <c r="D143" s="131" t="s">
        <v>2756</v>
      </c>
      <c r="E143" s="132" t="s">
        <v>1925</v>
      </c>
      <c r="F143" s="130" t="s">
        <v>457</v>
      </c>
      <c r="G143" s="131">
        <v>12875316</v>
      </c>
      <c r="H143" s="131" t="s">
        <v>19</v>
      </c>
      <c r="I143" s="131" t="s">
        <v>458</v>
      </c>
      <c r="J143" s="131" t="s">
        <v>459</v>
      </c>
      <c r="K143" s="204">
        <v>0.91237882213878996</v>
      </c>
      <c r="L143" s="204">
        <v>1.0800000000000001E-2</v>
      </c>
      <c r="M143" s="207">
        <v>2.4779999999999999E-17</v>
      </c>
      <c r="N143" s="392">
        <v>0</v>
      </c>
      <c r="O143" s="208">
        <v>0.66949999999999998</v>
      </c>
      <c r="P143" s="130" t="s">
        <v>460</v>
      </c>
      <c r="Q143" s="131">
        <v>12857002</v>
      </c>
      <c r="R143" s="131" t="s">
        <v>19</v>
      </c>
      <c r="S143" s="131" t="s">
        <v>25</v>
      </c>
      <c r="T143" s="131" t="s">
        <v>401</v>
      </c>
      <c r="U143" s="204">
        <v>0.928485978074715</v>
      </c>
      <c r="V143" s="204">
        <v>9.1999999999999998E-3</v>
      </c>
      <c r="W143" s="207">
        <v>5.184E-16</v>
      </c>
      <c r="X143" s="392">
        <v>15.8</v>
      </c>
      <c r="Y143" s="208">
        <v>0.26429999999999998</v>
      </c>
      <c r="Z143" s="205">
        <v>1</v>
      </c>
      <c r="AA143" s="130" t="s">
        <v>460</v>
      </c>
      <c r="AB143" s="131">
        <v>12857002</v>
      </c>
      <c r="AC143" s="131" t="s">
        <v>19</v>
      </c>
      <c r="AD143" s="204">
        <v>0.928485978074715</v>
      </c>
      <c r="AE143" s="204">
        <v>9.2028500000000003E-3</v>
      </c>
      <c r="AF143" s="133">
        <v>7.4613199999999999E-16</v>
      </c>
      <c r="AG143" s="206">
        <v>1</v>
      </c>
      <c r="AH143" s="207" t="s">
        <v>461</v>
      </c>
      <c r="AI143" s="208">
        <v>0.99911102100000004</v>
      </c>
      <c r="AJ143" s="209" t="s">
        <v>462</v>
      </c>
      <c r="AK143" s="210" t="s">
        <v>28</v>
      </c>
    </row>
    <row r="144" spans="2:37" ht="17" x14ac:dyDescent="0.2">
      <c r="B144" s="130">
        <v>95</v>
      </c>
      <c r="C144" s="131">
        <v>18</v>
      </c>
      <c r="D144" s="131" t="s">
        <v>2757</v>
      </c>
      <c r="E144" s="132" t="s">
        <v>1926</v>
      </c>
      <c r="F144" s="130" t="s">
        <v>463</v>
      </c>
      <c r="G144" s="131">
        <v>51797526</v>
      </c>
      <c r="H144" s="131" t="s">
        <v>464</v>
      </c>
      <c r="I144" s="131" t="s">
        <v>20</v>
      </c>
      <c r="J144" s="131" t="s">
        <v>352</v>
      </c>
      <c r="K144" s="204">
        <v>1.1129342544793299</v>
      </c>
      <c r="L144" s="204">
        <v>9.9000000000000008E-3</v>
      </c>
      <c r="M144" s="207">
        <v>2.8410000000000002E-27</v>
      </c>
      <c r="N144" s="392">
        <v>28.8</v>
      </c>
      <c r="O144" s="208">
        <v>0.1231</v>
      </c>
      <c r="P144" s="130" t="s">
        <v>22</v>
      </c>
      <c r="Q144" s="131" t="s">
        <v>23</v>
      </c>
      <c r="R144" s="131" t="s">
        <v>23</v>
      </c>
      <c r="S144" s="131" t="s">
        <v>23</v>
      </c>
      <c r="T144" s="131" t="s">
        <v>23</v>
      </c>
      <c r="U144" s="204" t="s">
        <v>23</v>
      </c>
      <c r="V144" s="204" t="s">
        <v>23</v>
      </c>
      <c r="W144" s="207" t="s">
        <v>23</v>
      </c>
      <c r="X144" s="392" t="s">
        <v>23</v>
      </c>
      <c r="Y144" s="208" t="s">
        <v>23</v>
      </c>
      <c r="Z144" s="205">
        <v>1</v>
      </c>
      <c r="AA144" s="130" t="s">
        <v>463</v>
      </c>
      <c r="AB144" s="131">
        <v>51797526</v>
      </c>
      <c r="AC144" s="131" t="s">
        <v>464</v>
      </c>
      <c r="AD144" s="204">
        <v>1.1129342544793299</v>
      </c>
      <c r="AE144" s="204">
        <v>9.9054399999999997E-3</v>
      </c>
      <c r="AF144" s="133">
        <v>3.36247E-27</v>
      </c>
      <c r="AG144" s="206">
        <v>63</v>
      </c>
      <c r="AH144" s="207" t="s">
        <v>465</v>
      </c>
      <c r="AI144" s="208">
        <v>4.8059131999999997E-2</v>
      </c>
      <c r="AJ144" s="209" t="s">
        <v>466</v>
      </c>
      <c r="AK144" s="210" t="s">
        <v>28</v>
      </c>
    </row>
    <row r="145" spans="2:37" ht="17" x14ac:dyDescent="0.2">
      <c r="B145" s="194">
        <v>96</v>
      </c>
      <c r="C145" s="195">
        <v>19</v>
      </c>
      <c r="D145" s="195" t="s">
        <v>2758</v>
      </c>
      <c r="E145" s="196" t="s">
        <v>1927</v>
      </c>
      <c r="F145" s="194" t="s">
        <v>467</v>
      </c>
      <c r="G145" s="195">
        <v>936353</v>
      </c>
      <c r="H145" s="195" t="s">
        <v>20</v>
      </c>
      <c r="I145" s="195" t="s">
        <v>25</v>
      </c>
      <c r="J145" s="195" t="s">
        <v>468</v>
      </c>
      <c r="K145" s="197">
        <v>0.92774348632855297</v>
      </c>
      <c r="L145" s="197">
        <v>1.3599999999999999E-2</v>
      </c>
      <c r="M145" s="217">
        <v>3.3600000000000003E-8</v>
      </c>
      <c r="N145" s="391">
        <v>6.5</v>
      </c>
      <c r="O145" s="201">
        <v>0.37719999999999998</v>
      </c>
      <c r="P145" s="194" t="s">
        <v>22</v>
      </c>
      <c r="Q145" s="195" t="s">
        <v>23</v>
      </c>
      <c r="R145" s="195" t="s">
        <v>23</v>
      </c>
      <c r="S145" s="195" t="s">
        <v>23</v>
      </c>
      <c r="T145" s="195" t="s">
        <v>23</v>
      </c>
      <c r="U145" s="197" t="s">
        <v>23</v>
      </c>
      <c r="V145" s="197" t="s">
        <v>23</v>
      </c>
      <c r="W145" s="217" t="s">
        <v>23</v>
      </c>
      <c r="X145" s="391" t="s">
        <v>23</v>
      </c>
      <c r="Y145" s="201" t="s">
        <v>23</v>
      </c>
      <c r="Z145" s="199">
        <v>1</v>
      </c>
      <c r="AA145" s="194" t="s">
        <v>469</v>
      </c>
      <c r="AB145" s="195">
        <v>940928</v>
      </c>
      <c r="AC145" s="195" t="s">
        <v>20</v>
      </c>
      <c r="AD145" s="197">
        <v>1.0766991301995199</v>
      </c>
      <c r="AE145" s="197">
        <v>1.34018E-2</v>
      </c>
      <c r="AF145" s="198">
        <v>3.5040299999999998E-8</v>
      </c>
      <c r="AG145" s="200">
        <v>28</v>
      </c>
      <c r="AH145" s="217" t="s">
        <v>470</v>
      </c>
      <c r="AI145" s="201">
        <v>8.4764240000000005E-2</v>
      </c>
      <c r="AJ145" s="202" t="s">
        <v>38</v>
      </c>
      <c r="AK145" s="203" t="s">
        <v>28</v>
      </c>
    </row>
    <row r="146" spans="2:37" ht="17" x14ac:dyDescent="0.2">
      <c r="B146" s="194">
        <v>97</v>
      </c>
      <c r="C146" s="195">
        <v>19</v>
      </c>
      <c r="D146" s="195" t="s">
        <v>2758</v>
      </c>
      <c r="E146" s="196" t="s">
        <v>1705</v>
      </c>
      <c r="F146" s="194" t="s">
        <v>471</v>
      </c>
      <c r="G146" s="195">
        <v>4328755</v>
      </c>
      <c r="H146" s="195" t="s">
        <v>20</v>
      </c>
      <c r="I146" s="195" t="s">
        <v>25</v>
      </c>
      <c r="J146" s="195" t="s">
        <v>472</v>
      </c>
      <c r="K146" s="197">
        <v>0.79017566300880904</v>
      </c>
      <c r="L146" s="197">
        <v>3.8899999999999997E-2</v>
      </c>
      <c r="M146" s="217">
        <v>1.4249999999999999E-9</v>
      </c>
      <c r="N146" s="391">
        <v>20.5</v>
      </c>
      <c r="O146" s="201">
        <v>0.22020000000000001</v>
      </c>
      <c r="P146" s="194" t="s">
        <v>22</v>
      </c>
      <c r="Q146" s="195" t="s">
        <v>23</v>
      </c>
      <c r="R146" s="195" t="s">
        <v>23</v>
      </c>
      <c r="S146" s="195" t="s">
        <v>23</v>
      </c>
      <c r="T146" s="195" t="s">
        <v>23</v>
      </c>
      <c r="U146" s="197" t="s">
        <v>23</v>
      </c>
      <c r="V146" s="197" t="s">
        <v>23</v>
      </c>
      <c r="W146" s="217" t="s">
        <v>23</v>
      </c>
      <c r="X146" s="391" t="s">
        <v>23</v>
      </c>
      <c r="Y146" s="201" t="s">
        <v>23</v>
      </c>
      <c r="Z146" s="199">
        <v>1</v>
      </c>
      <c r="AA146" s="194" t="s">
        <v>471</v>
      </c>
      <c r="AB146" s="195">
        <v>4328755</v>
      </c>
      <c r="AC146" s="195" t="s">
        <v>20</v>
      </c>
      <c r="AD146" s="197">
        <v>0.79017566300880904</v>
      </c>
      <c r="AE146" s="197">
        <v>3.8907299999999999E-2</v>
      </c>
      <c r="AF146" s="198">
        <v>1.4231100000000001E-9</v>
      </c>
      <c r="AG146" s="200">
        <v>2</v>
      </c>
      <c r="AH146" s="217" t="s">
        <v>473</v>
      </c>
      <c r="AI146" s="201">
        <v>0.69772606800000003</v>
      </c>
      <c r="AJ146" s="202" t="s">
        <v>38</v>
      </c>
      <c r="AK146" s="203" t="s">
        <v>28</v>
      </c>
    </row>
    <row r="147" spans="2:37" ht="17" x14ac:dyDescent="0.2">
      <c r="B147" s="86">
        <v>98</v>
      </c>
      <c r="C147" s="87">
        <v>19</v>
      </c>
      <c r="D147" s="87" t="s">
        <v>2759</v>
      </c>
      <c r="E147" s="89" t="s">
        <v>1710</v>
      </c>
      <c r="F147" s="86" t="s">
        <v>474</v>
      </c>
      <c r="G147" s="87">
        <v>10463118</v>
      </c>
      <c r="H147" s="87" t="s">
        <v>20</v>
      </c>
      <c r="I147" s="87" t="s">
        <v>25</v>
      </c>
      <c r="J147" s="87" t="s">
        <v>475</v>
      </c>
      <c r="K147" s="88">
        <v>0.60157744424090998</v>
      </c>
      <c r="L147" s="88">
        <v>2.7E-2</v>
      </c>
      <c r="M147" s="184">
        <v>2.6320000000000001E-79</v>
      </c>
      <c r="N147" s="90">
        <v>75.3</v>
      </c>
      <c r="O147" s="395">
        <v>8.1320000000000003E-8</v>
      </c>
      <c r="P147" s="86" t="s">
        <v>22</v>
      </c>
      <c r="Q147" s="87" t="s">
        <v>23</v>
      </c>
      <c r="R147" s="87" t="s">
        <v>23</v>
      </c>
      <c r="S147" s="87" t="s">
        <v>23</v>
      </c>
      <c r="T147" s="87" t="s">
        <v>23</v>
      </c>
      <c r="U147" s="88" t="s">
        <v>23</v>
      </c>
      <c r="V147" s="88" t="s">
        <v>23</v>
      </c>
      <c r="W147" s="184" t="s">
        <v>23</v>
      </c>
      <c r="X147" s="90" t="s">
        <v>23</v>
      </c>
      <c r="Y147" s="185" t="s">
        <v>23</v>
      </c>
      <c r="Z147" s="182">
        <v>3</v>
      </c>
      <c r="AA147" s="86" t="s">
        <v>474</v>
      </c>
      <c r="AB147" s="87">
        <v>10463118</v>
      </c>
      <c r="AC147" s="87" t="s">
        <v>20</v>
      </c>
      <c r="AD147" s="88">
        <v>0.62181416560943903</v>
      </c>
      <c r="AE147" s="88">
        <v>2.8171600000000002E-2</v>
      </c>
      <c r="AF147" s="127">
        <v>8.1417100000000004E-64</v>
      </c>
      <c r="AG147" s="183">
        <v>1</v>
      </c>
      <c r="AH147" s="184" t="s">
        <v>476</v>
      </c>
      <c r="AI147" s="185">
        <v>1</v>
      </c>
      <c r="AJ147" s="186" t="s">
        <v>477</v>
      </c>
      <c r="AK147" s="187" t="s">
        <v>28</v>
      </c>
    </row>
    <row r="148" spans="2:37" ht="17" x14ac:dyDescent="0.2">
      <c r="B148" s="66" t="s">
        <v>28</v>
      </c>
      <c r="C148" s="67" t="s">
        <v>28</v>
      </c>
      <c r="D148" s="67" t="s">
        <v>28</v>
      </c>
      <c r="E148" s="69" t="s">
        <v>28</v>
      </c>
      <c r="F148" s="66" t="s">
        <v>28</v>
      </c>
      <c r="G148" s="67" t="s">
        <v>28</v>
      </c>
      <c r="H148" s="67" t="s">
        <v>28</v>
      </c>
      <c r="I148" s="67" t="s">
        <v>28</v>
      </c>
      <c r="J148" s="67" t="s">
        <v>28</v>
      </c>
      <c r="K148" s="68" t="s">
        <v>28</v>
      </c>
      <c r="L148" s="68" t="s">
        <v>28</v>
      </c>
      <c r="M148" s="213" t="s">
        <v>28</v>
      </c>
      <c r="N148" s="80" t="s">
        <v>28</v>
      </c>
      <c r="O148" s="69" t="s">
        <v>28</v>
      </c>
      <c r="P148" s="66" t="s">
        <v>28</v>
      </c>
      <c r="Q148" s="67" t="s">
        <v>28</v>
      </c>
      <c r="R148" s="67" t="s">
        <v>28</v>
      </c>
      <c r="S148" s="67" t="s">
        <v>28</v>
      </c>
      <c r="T148" s="67" t="s">
        <v>28</v>
      </c>
      <c r="U148" s="68" t="s">
        <v>28</v>
      </c>
      <c r="V148" s="68" t="s">
        <v>28</v>
      </c>
      <c r="W148" s="213" t="s">
        <v>28</v>
      </c>
      <c r="X148" s="80" t="s">
        <v>28</v>
      </c>
      <c r="Y148" s="214" t="s">
        <v>28</v>
      </c>
      <c r="Z148" s="211" t="s">
        <v>28</v>
      </c>
      <c r="AA148" s="66" t="s">
        <v>478</v>
      </c>
      <c r="AB148" s="67">
        <v>10469975</v>
      </c>
      <c r="AC148" s="67" t="s">
        <v>20</v>
      </c>
      <c r="AD148" s="68">
        <v>0.822762251792032</v>
      </c>
      <c r="AE148" s="68">
        <v>1.6680500000000001E-2</v>
      </c>
      <c r="AF148" s="128">
        <v>1.3429199999999999E-31</v>
      </c>
      <c r="AG148" s="212">
        <v>1</v>
      </c>
      <c r="AH148" s="213" t="s">
        <v>479</v>
      </c>
      <c r="AI148" s="214">
        <v>0.99996682999999997</v>
      </c>
      <c r="AJ148" s="215" t="s">
        <v>28</v>
      </c>
      <c r="AK148" s="216" t="s">
        <v>28</v>
      </c>
    </row>
    <row r="149" spans="2:37" ht="17" x14ac:dyDescent="0.2">
      <c r="B149" s="75" t="s">
        <v>28</v>
      </c>
      <c r="C149" s="77" t="s">
        <v>28</v>
      </c>
      <c r="D149" s="77" t="s">
        <v>28</v>
      </c>
      <c r="E149" s="79" t="s">
        <v>28</v>
      </c>
      <c r="F149" s="75" t="s">
        <v>28</v>
      </c>
      <c r="G149" s="77" t="s">
        <v>28</v>
      </c>
      <c r="H149" s="77" t="s">
        <v>28</v>
      </c>
      <c r="I149" s="77" t="s">
        <v>28</v>
      </c>
      <c r="J149" s="77" t="s">
        <v>28</v>
      </c>
      <c r="K149" s="178" t="s">
        <v>28</v>
      </c>
      <c r="L149" s="178" t="s">
        <v>28</v>
      </c>
      <c r="M149" s="190" t="s">
        <v>28</v>
      </c>
      <c r="N149" s="114" t="s">
        <v>28</v>
      </c>
      <c r="O149" s="79" t="s">
        <v>28</v>
      </c>
      <c r="P149" s="75" t="s">
        <v>28</v>
      </c>
      <c r="Q149" s="77" t="s">
        <v>28</v>
      </c>
      <c r="R149" s="77" t="s">
        <v>28</v>
      </c>
      <c r="S149" s="77" t="s">
        <v>28</v>
      </c>
      <c r="T149" s="77" t="s">
        <v>28</v>
      </c>
      <c r="U149" s="178" t="s">
        <v>28</v>
      </c>
      <c r="V149" s="178" t="s">
        <v>28</v>
      </c>
      <c r="W149" s="190" t="s">
        <v>28</v>
      </c>
      <c r="X149" s="114" t="s">
        <v>28</v>
      </c>
      <c r="Y149" s="191" t="s">
        <v>28</v>
      </c>
      <c r="Z149" s="188" t="s">
        <v>28</v>
      </c>
      <c r="AA149" s="75" t="s">
        <v>480</v>
      </c>
      <c r="AB149" s="77">
        <v>10585233</v>
      </c>
      <c r="AC149" s="77" t="s">
        <v>25</v>
      </c>
      <c r="AD149" s="178">
        <v>0.92342822776224398</v>
      </c>
      <c r="AE149" s="178">
        <v>1.25322E-2</v>
      </c>
      <c r="AF149" s="129">
        <v>2.06291E-10</v>
      </c>
      <c r="AG149" s="189">
        <v>77</v>
      </c>
      <c r="AH149" s="190" t="s">
        <v>481</v>
      </c>
      <c r="AI149" s="191">
        <v>0.153108728</v>
      </c>
      <c r="AJ149" s="192" t="s">
        <v>28</v>
      </c>
      <c r="AK149" s="193" t="s">
        <v>28</v>
      </c>
    </row>
    <row r="150" spans="2:37" ht="17" x14ac:dyDescent="0.2">
      <c r="B150" s="194">
        <v>99</v>
      </c>
      <c r="C150" s="195">
        <v>19</v>
      </c>
      <c r="D150" s="195" t="s">
        <v>2760</v>
      </c>
      <c r="E150" s="196" t="s">
        <v>1928</v>
      </c>
      <c r="F150" s="194" t="s">
        <v>482</v>
      </c>
      <c r="G150" s="195">
        <v>18612758</v>
      </c>
      <c r="H150" s="195" t="s">
        <v>40</v>
      </c>
      <c r="I150" s="195" t="s">
        <v>25</v>
      </c>
      <c r="J150" s="195" t="s">
        <v>280</v>
      </c>
      <c r="K150" s="197">
        <v>1.0751928060901501</v>
      </c>
      <c r="L150" s="197">
        <v>9.4999999999999998E-3</v>
      </c>
      <c r="M150" s="217">
        <v>1.8880000000000001E-14</v>
      </c>
      <c r="N150" s="391">
        <v>17.8</v>
      </c>
      <c r="O150" s="201">
        <v>0.2407</v>
      </c>
      <c r="P150" s="194" t="s">
        <v>22</v>
      </c>
      <c r="Q150" s="195" t="s">
        <v>23</v>
      </c>
      <c r="R150" s="195" t="s">
        <v>23</v>
      </c>
      <c r="S150" s="195" t="s">
        <v>23</v>
      </c>
      <c r="T150" s="195" t="s">
        <v>23</v>
      </c>
      <c r="U150" s="197" t="s">
        <v>23</v>
      </c>
      <c r="V150" s="197" t="s">
        <v>23</v>
      </c>
      <c r="W150" s="217" t="s">
        <v>23</v>
      </c>
      <c r="X150" s="391" t="s">
        <v>23</v>
      </c>
      <c r="Y150" s="201" t="s">
        <v>23</v>
      </c>
      <c r="Z150" s="199">
        <v>1</v>
      </c>
      <c r="AA150" s="194" t="s">
        <v>483</v>
      </c>
      <c r="AB150" s="195">
        <v>18573675</v>
      </c>
      <c r="AC150" s="195" t="s">
        <v>25</v>
      </c>
      <c r="AD150" s="197">
        <v>1.0748702966271699</v>
      </c>
      <c r="AE150" s="197">
        <v>9.4025500000000008E-3</v>
      </c>
      <c r="AF150" s="198">
        <v>1.60624E-14</v>
      </c>
      <c r="AG150" s="200">
        <v>45</v>
      </c>
      <c r="AH150" s="217" t="s">
        <v>484</v>
      </c>
      <c r="AI150" s="201">
        <v>5.0200546999999998E-2</v>
      </c>
      <c r="AJ150" s="202" t="s">
        <v>38</v>
      </c>
      <c r="AK150" s="203" t="s">
        <v>28</v>
      </c>
    </row>
    <row r="151" spans="2:37" ht="17" x14ac:dyDescent="0.2">
      <c r="B151" s="194">
        <v>100</v>
      </c>
      <c r="C151" s="195">
        <v>19</v>
      </c>
      <c r="D151" s="195" t="s">
        <v>2761</v>
      </c>
      <c r="E151" s="196" t="s">
        <v>1725</v>
      </c>
      <c r="F151" s="194" t="s">
        <v>485</v>
      </c>
      <c r="G151" s="195">
        <v>33874354</v>
      </c>
      <c r="H151" s="195" t="s">
        <v>19</v>
      </c>
      <c r="I151" s="195" t="s">
        <v>20</v>
      </c>
      <c r="J151" s="195" t="s">
        <v>486</v>
      </c>
      <c r="K151" s="197">
        <v>0.93538225908219497</v>
      </c>
      <c r="L151" s="197">
        <v>1.06E-2</v>
      </c>
      <c r="M151" s="217">
        <v>3.3199999999999999E-10</v>
      </c>
      <c r="N151" s="391">
        <v>23</v>
      </c>
      <c r="O151" s="201">
        <v>0.18179999999999999</v>
      </c>
      <c r="P151" s="194" t="s">
        <v>22</v>
      </c>
      <c r="Q151" s="195" t="s">
        <v>23</v>
      </c>
      <c r="R151" s="195" t="s">
        <v>23</v>
      </c>
      <c r="S151" s="195" t="s">
        <v>23</v>
      </c>
      <c r="T151" s="195" t="s">
        <v>23</v>
      </c>
      <c r="U151" s="197" t="s">
        <v>23</v>
      </c>
      <c r="V151" s="197" t="s">
        <v>23</v>
      </c>
      <c r="W151" s="217" t="s">
        <v>23</v>
      </c>
      <c r="X151" s="391" t="s">
        <v>23</v>
      </c>
      <c r="Y151" s="201" t="s">
        <v>23</v>
      </c>
      <c r="Z151" s="199">
        <v>1</v>
      </c>
      <c r="AA151" s="194" t="s">
        <v>485</v>
      </c>
      <c r="AB151" s="195">
        <v>33874354</v>
      </c>
      <c r="AC151" s="195" t="s">
        <v>19</v>
      </c>
      <c r="AD151" s="197">
        <v>0.93538225908219497</v>
      </c>
      <c r="AE151" s="197">
        <v>1.0601899999999999E-2</v>
      </c>
      <c r="AF151" s="198">
        <v>2.9621999999999999E-10</v>
      </c>
      <c r="AG151" s="200">
        <v>22</v>
      </c>
      <c r="AH151" s="217" t="s">
        <v>487</v>
      </c>
      <c r="AI151" s="201">
        <v>0.14247100200000001</v>
      </c>
      <c r="AJ151" s="202" t="s">
        <v>38</v>
      </c>
      <c r="AK151" s="203" t="s">
        <v>28</v>
      </c>
    </row>
    <row r="152" spans="2:37" ht="17" x14ac:dyDescent="0.2">
      <c r="B152" s="130">
        <v>101</v>
      </c>
      <c r="C152" s="131">
        <v>19</v>
      </c>
      <c r="D152" s="131" t="s">
        <v>2762</v>
      </c>
      <c r="E152" s="132" t="s">
        <v>1729</v>
      </c>
      <c r="F152" s="130" t="s">
        <v>488</v>
      </c>
      <c r="G152" s="131">
        <v>49206172</v>
      </c>
      <c r="H152" s="131" t="s">
        <v>19</v>
      </c>
      <c r="I152" s="131" t="s">
        <v>20</v>
      </c>
      <c r="J152" s="131" t="s">
        <v>489</v>
      </c>
      <c r="K152" s="204">
        <v>1.0680130931856699</v>
      </c>
      <c r="L152" s="204">
        <v>9.1000000000000004E-3</v>
      </c>
      <c r="M152" s="207">
        <v>6.4009999999999997E-13</v>
      </c>
      <c r="N152" s="392">
        <v>43.8</v>
      </c>
      <c r="O152" s="208">
        <v>2.444E-2</v>
      </c>
      <c r="P152" s="130" t="s">
        <v>22</v>
      </c>
      <c r="Q152" s="131" t="s">
        <v>23</v>
      </c>
      <c r="R152" s="131" t="s">
        <v>23</v>
      </c>
      <c r="S152" s="131" t="s">
        <v>23</v>
      </c>
      <c r="T152" s="131" t="s">
        <v>23</v>
      </c>
      <c r="U152" s="204" t="s">
        <v>23</v>
      </c>
      <c r="V152" s="204" t="s">
        <v>23</v>
      </c>
      <c r="W152" s="207" t="s">
        <v>23</v>
      </c>
      <c r="X152" s="392" t="s">
        <v>23</v>
      </c>
      <c r="Y152" s="208" t="s">
        <v>23</v>
      </c>
      <c r="Z152" s="205">
        <v>1</v>
      </c>
      <c r="AA152" s="130" t="s">
        <v>488</v>
      </c>
      <c r="AB152" s="131">
        <v>49206172</v>
      </c>
      <c r="AC152" s="131" t="s">
        <v>19</v>
      </c>
      <c r="AD152" s="204">
        <v>1.0680130931856699</v>
      </c>
      <c r="AE152" s="204">
        <v>9.1022199999999994E-3</v>
      </c>
      <c r="AF152" s="133">
        <v>4.8654500000000002E-13</v>
      </c>
      <c r="AG152" s="206">
        <v>41</v>
      </c>
      <c r="AH152" s="207" t="s">
        <v>490</v>
      </c>
      <c r="AI152" s="208">
        <v>0.281402561</v>
      </c>
      <c r="AJ152" s="209" t="s">
        <v>491</v>
      </c>
      <c r="AK152" s="210" t="s">
        <v>28</v>
      </c>
    </row>
    <row r="153" spans="2:37" ht="17" x14ac:dyDescent="0.2">
      <c r="B153" s="194">
        <v>102</v>
      </c>
      <c r="C153" s="195">
        <v>20</v>
      </c>
      <c r="D153" s="195" t="s">
        <v>2763</v>
      </c>
      <c r="E153" s="196" t="s">
        <v>1929</v>
      </c>
      <c r="F153" s="194" t="s">
        <v>492</v>
      </c>
      <c r="G153" s="195">
        <v>47376086</v>
      </c>
      <c r="H153" s="195" t="s">
        <v>493</v>
      </c>
      <c r="I153" s="195" t="s">
        <v>20</v>
      </c>
      <c r="J153" s="195" t="s">
        <v>494</v>
      </c>
      <c r="K153" s="197">
        <v>0.861741445954469</v>
      </c>
      <c r="L153" s="197">
        <v>2.7199999999999998E-2</v>
      </c>
      <c r="M153" s="217">
        <v>4.5979999999999999E-8</v>
      </c>
      <c r="N153" s="391">
        <v>40.1</v>
      </c>
      <c r="O153" s="201">
        <v>7.3380000000000001E-2</v>
      </c>
      <c r="P153" s="194" t="s">
        <v>495</v>
      </c>
      <c r="Q153" s="195">
        <v>47355462</v>
      </c>
      <c r="R153" s="195" t="s">
        <v>40</v>
      </c>
      <c r="S153" s="195" t="s">
        <v>25</v>
      </c>
      <c r="T153" s="195" t="s">
        <v>496</v>
      </c>
      <c r="U153" s="197">
        <v>0.94961370822701396</v>
      </c>
      <c r="V153" s="197">
        <v>1.12E-2</v>
      </c>
      <c r="W153" s="217">
        <v>3.664E-6</v>
      </c>
      <c r="X153" s="391">
        <v>24.3</v>
      </c>
      <c r="Y153" s="201">
        <v>0.16830000000000001</v>
      </c>
      <c r="Z153" s="199">
        <v>1</v>
      </c>
      <c r="AA153" s="194" t="s">
        <v>23</v>
      </c>
      <c r="AB153" s="195" t="s">
        <v>23</v>
      </c>
      <c r="AC153" s="195" t="s">
        <v>23</v>
      </c>
      <c r="AD153" s="197" t="s">
        <v>23</v>
      </c>
      <c r="AE153" s="197" t="s">
        <v>23</v>
      </c>
      <c r="AF153" s="196" t="s">
        <v>23</v>
      </c>
      <c r="AG153" s="200" t="s">
        <v>23</v>
      </c>
      <c r="AH153" s="195" t="s">
        <v>23</v>
      </c>
      <c r="AI153" s="201" t="s">
        <v>23</v>
      </c>
      <c r="AJ153" s="202" t="s">
        <v>38</v>
      </c>
      <c r="AK153" s="203" t="s">
        <v>28</v>
      </c>
    </row>
    <row r="154" spans="2:37" ht="17" x14ac:dyDescent="0.2">
      <c r="B154" s="86">
        <v>103</v>
      </c>
      <c r="C154" s="87">
        <v>20</v>
      </c>
      <c r="D154" s="87" t="s">
        <v>2764</v>
      </c>
      <c r="E154" s="89" t="s">
        <v>1930</v>
      </c>
      <c r="F154" s="86" t="s">
        <v>497</v>
      </c>
      <c r="G154" s="87">
        <v>48560372</v>
      </c>
      <c r="H154" s="87" t="s">
        <v>19</v>
      </c>
      <c r="I154" s="87" t="s">
        <v>20</v>
      </c>
      <c r="J154" s="87" t="s">
        <v>498</v>
      </c>
      <c r="K154" s="88">
        <v>0.87994136888197205</v>
      </c>
      <c r="L154" s="88">
        <v>1.0200000000000001E-2</v>
      </c>
      <c r="M154" s="184">
        <v>4.3260000000000002E-36</v>
      </c>
      <c r="N154" s="90">
        <v>29.2</v>
      </c>
      <c r="O154" s="185">
        <v>0.12520000000000001</v>
      </c>
      <c r="P154" s="86" t="s">
        <v>499</v>
      </c>
      <c r="Q154" s="87">
        <v>48569127</v>
      </c>
      <c r="R154" s="87" t="s">
        <v>40</v>
      </c>
      <c r="S154" s="87" t="s">
        <v>25</v>
      </c>
      <c r="T154" s="87" t="s">
        <v>111</v>
      </c>
      <c r="U154" s="88">
        <v>0.89306134951560801</v>
      </c>
      <c r="V154" s="88">
        <v>9.1999999999999998E-3</v>
      </c>
      <c r="W154" s="184">
        <v>1.563E-34</v>
      </c>
      <c r="X154" s="90">
        <v>52.2</v>
      </c>
      <c r="Y154" s="185">
        <v>5.2570000000000004E-3</v>
      </c>
      <c r="Z154" s="182">
        <v>2</v>
      </c>
      <c r="AA154" s="86" t="s">
        <v>500</v>
      </c>
      <c r="AB154" s="87">
        <v>48568929</v>
      </c>
      <c r="AC154" s="87" t="s">
        <v>19</v>
      </c>
      <c r="AD154" s="88">
        <v>0.90397823066744398</v>
      </c>
      <c r="AE154" s="88">
        <v>9.3529300000000006E-3</v>
      </c>
      <c r="AF154" s="127">
        <v>3.6993299999999999E-27</v>
      </c>
      <c r="AG154" s="183">
        <v>31</v>
      </c>
      <c r="AH154" s="184" t="s">
        <v>501</v>
      </c>
      <c r="AI154" s="185">
        <v>6.3942550000000001E-2</v>
      </c>
      <c r="AJ154" s="186" t="s">
        <v>502</v>
      </c>
      <c r="AK154" s="187" t="s">
        <v>28</v>
      </c>
    </row>
    <row r="155" spans="2:37" ht="17" x14ac:dyDescent="0.2">
      <c r="B155" s="75" t="s">
        <v>28</v>
      </c>
      <c r="C155" s="77" t="s">
        <v>28</v>
      </c>
      <c r="D155" s="77" t="s">
        <v>28</v>
      </c>
      <c r="E155" s="79" t="s">
        <v>28</v>
      </c>
      <c r="F155" s="75" t="s">
        <v>28</v>
      </c>
      <c r="G155" s="77" t="s">
        <v>28</v>
      </c>
      <c r="H155" s="77" t="s">
        <v>28</v>
      </c>
      <c r="I155" s="77" t="s">
        <v>28</v>
      </c>
      <c r="J155" s="77" t="s">
        <v>28</v>
      </c>
      <c r="K155" s="178" t="s">
        <v>28</v>
      </c>
      <c r="L155" s="178" t="s">
        <v>28</v>
      </c>
      <c r="M155" s="190" t="s">
        <v>28</v>
      </c>
      <c r="N155" s="114" t="s">
        <v>28</v>
      </c>
      <c r="O155" s="191" t="s">
        <v>28</v>
      </c>
      <c r="P155" s="75" t="s">
        <v>28</v>
      </c>
      <c r="Q155" s="77" t="s">
        <v>28</v>
      </c>
      <c r="R155" s="77" t="s">
        <v>28</v>
      </c>
      <c r="S155" s="77" t="s">
        <v>28</v>
      </c>
      <c r="T155" s="77" t="s">
        <v>28</v>
      </c>
      <c r="U155" s="178" t="s">
        <v>28</v>
      </c>
      <c r="V155" s="178" t="s">
        <v>28</v>
      </c>
      <c r="W155" s="178" t="s">
        <v>28</v>
      </c>
      <c r="X155" s="114" t="s">
        <v>28</v>
      </c>
      <c r="Y155" s="191" t="s">
        <v>28</v>
      </c>
      <c r="Z155" s="188" t="s">
        <v>28</v>
      </c>
      <c r="AA155" s="75" t="s">
        <v>503</v>
      </c>
      <c r="AB155" s="77">
        <v>48633764</v>
      </c>
      <c r="AC155" s="77" t="s">
        <v>40</v>
      </c>
      <c r="AD155" s="178">
        <v>1.098153244183</v>
      </c>
      <c r="AE155" s="178">
        <v>1.2704200000000001E-2</v>
      </c>
      <c r="AF155" s="129">
        <v>1.7063999999999999E-13</v>
      </c>
      <c r="AG155" s="189">
        <v>31</v>
      </c>
      <c r="AH155" s="190" t="s">
        <v>504</v>
      </c>
      <c r="AI155" s="191">
        <v>0.52343462299999999</v>
      </c>
      <c r="AJ155" s="192" t="s">
        <v>28</v>
      </c>
      <c r="AK155" s="193" t="s">
        <v>28</v>
      </c>
    </row>
    <row r="156" spans="2:37" ht="17" x14ac:dyDescent="0.2">
      <c r="B156" s="194">
        <v>104</v>
      </c>
      <c r="C156" s="195">
        <v>20</v>
      </c>
      <c r="D156" s="195" t="s">
        <v>2765</v>
      </c>
      <c r="E156" s="196" t="s">
        <v>1839</v>
      </c>
      <c r="F156" s="194" t="s">
        <v>505</v>
      </c>
      <c r="G156" s="195">
        <v>50142524</v>
      </c>
      <c r="H156" s="195" t="s">
        <v>20</v>
      </c>
      <c r="I156" s="195" t="s">
        <v>25</v>
      </c>
      <c r="J156" s="195" t="s">
        <v>506</v>
      </c>
      <c r="K156" s="197">
        <v>0.93828644324503496</v>
      </c>
      <c r="L156" s="197">
        <v>9.1999999999999998E-3</v>
      </c>
      <c r="M156" s="217">
        <v>3.729E-12</v>
      </c>
      <c r="N156" s="391">
        <v>0</v>
      </c>
      <c r="O156" s="201">
        <v>0.66039999999999999</v>
      </c>
      <c r="P156" s="194" t="s">
        <v>22</v>
      </c>
      <c r="Q156" s="195" t="s">
        <v>23</v>
      </c>
      <c r="R156" s="195" t="s">
        <v>23</v>
      </c>
      <c r="S156" s="195" t="s">
        <v>23</v>
      </c>
      <c r="T156" s="195" t="s">
        <v>23</v>
      </c>
      <c r="U156" s="197" t="s">
        <v>23</v>
      </c>
      <c r="V156" s="197" t="s">
        <v>23</v>
      </c>
      <c r="W156" s="197" t="s">
        <v>23</v>
      </c>
      <c r="X156" s="391" t="s">
        <v>23</v>
      </c>
      <c r="Y156" s="201" t="s">
        <v>23</v>
      </c>
      <c r="Z156" s="199">
        <v>1</v>
      </c>
      <c r="AA156" s="194" t="s">
        <v>505</v>
      </c>
      <c r="AB156" s="195">
        <v>50142524</v>
      </c>
      <c r="AC156" s="195" t="s">
        <v>25</v>
      </c>
      <c r="AD156" s="197">
        <v>1.06577261901124</v>
      </c>
      <c r="AE156" s="197">
        <v>9.2020999999999995E-3</v>
      </c>
      <c r="AF156" s="198">
        <v>4.4426199999999999E-12</v>
      </c>
      <c r="AG156" s="200">
        <v>3</v>
      </c>
      <c r="AH156" s="217" t="s">
        <v>507</v>
      </c>
      <c r="AI156" s="201">
        <v>0.61963699299999997</v>
      </c>
      <c r="AJ156" s="202" t="s">
        <v>38</v>
      </c>
      <c r="AK156" s="203" t="s">
        <v>28</v>
      </c>
    </row>
    <row r="157" spans="2:37" ht="17" x14ac:dyDescent="0.2">
      <c r="B157" s="194">
        <v>105</v>
      </c>
      <c r="C157" s="195">
        <v>21</v>
      </c>
      <c r="D157" s="195" t="s">
        <v>2766</v>
      </c>
      <c r="E157" s="196" t="s">
        <v>1842</v>
      </c>
      <c r="F157" s="194" t="s">
        <v>508</v>
      </c>
      <c r="G157" s="195">
        <v>40282556</v>
      </c>
      <c r="H157" s="195" t="s">
        <v>40</v>
      </c>
      <c r="I157" s="195" t="s">
        <v>25</v>
      </c>
      <c r="J157" s="195" t="s">
        <v>326</v>
      </c>
      <c r="K157" s="197">
        <v>1.0565406146754901</v>
      </c>
      <c r="L157" s="197">
        <v>9.4000000000000004E-3</v>
      </c>
      <c r="M157" s="217">
        <v>5.2540000000000003E-9</v>
      </c>
      <c r="N157" s="391">
        <v>15.9</v>
      </c>
      <c r="O157" s="201">
        <v>0.26379999999999998</v>
      </c>
      <c r="P157" s="194" t="s">
        <v>22</v>
      </c>
      <c r="Q157" s="195" t="s">
        <v>23</v>
      </c>
      <c r="R157" s="195" t="s">
        <v>23</v>
      </c>
      <c r="S157" s="195" t="s">
        <v>23</v>
      </c>
      <c r="T157" s="195" t="s">
        <v>23</v>
      </c>
      <c r="U157" s="197" t="s">
        <v>23</v>
      </c>
      <c r="V157" s="197" t="s">
        <v>23</v>
      </c>
      <c r="W157" s="197" t="s">
        <v>23</v>
      </c>
      <c r="X157" s="391" t="s">
        <v>23</v>
      </c>
      <c r="Y157" s="201" t="s">
        <v>23</v>
      </c>
      <c r="Z157" s="199">
        <v>1</v>
      </c>
      <c r="AA157" s="194" t="s">
        <v>508</v>
      </c>
      <c r="AB157" s="195">
        <v>40282556</v>
      </c>
      <c r="AC157" s="195" t="s">
        <v>25</v>
      </c>
      <c r="AD157" s="197">
        <v>0.94648514795348404</v>
      </c>
      <c r="AE157" s="197">
        <v>9.4015699999999997E-3</v>
      </c>
      <c r="AF157" s="198">
        <v>4.9132400000000003E-9</v>
      </c>
      <c r="AG157" s="200">
        <v>2</v>
      </c>
      <c r="AH157" s="217" t="s">
        <v>509</v>
      </c>
      <c r="AI157" s="201">
        <v>0.913397456</v>
      </c>
      <c r="AJ157" s="202" t="s">
        <v>38</v>
      </c>
      <c r="AK157" s="203" t="s">
        <v>28</v>
      </c>
    </row>
    <row r="158" spans="2:37" ht="17" x14ac:dyDescent="0.2">
      <c r="B158" s="194">
        <v>106</v>
      </c>
      <c r="C158" s="195">
        <v>22</v>
      </c>
      <c r="D158" s="195" t="s">
        <v>2767</v>
      </c>
      <c r="E158" s="196" t="s">
        <v>1931</v>
      </c>
      <c r="F158" s="194" t="s">
        <v>510</v>
      </c>
      <c r="G158" s="195">
        <v>17565932</v>
      </c>
      <c r="H158" s="195" t="s">
        <v>19</v>
      </c>
      <c r="I158" s="195" t="s">
        <v>20</v>
      </c>
      <c r="J158" s="195" t="s">
        <v>511</v>
      </c>
      <c r="K158" s="197">
        <v>1.0751928060901501</v>
      </c>
      <c r="L158" s="197">
        <v>1.23E-2</v>
      </c>
      <c r="M158" s="217">
        <v>3.8689999999999998E-9</v>
      </c>
      <c r="N158" s="391">
        <v>0</v>
      </c>
      <c r="O158" s="201">
        <v>0.4763</v>
      </c>
      <c r="P158" s="194" t="s">
        <v>22</v>
      </c>
      <c r="Q158" s="195" t="s">
        <v>23</v>
      </c>
      <c r="R158" s="195" t="s">
        <v>23</v>
      </c>
      <c r="S158" s="195" t="s">
        <v>23</v>
      </c>
      <c r="T158" s="195" t="s">
        <v>23</v>
      </c>
      <c r="U158" s="197" t="s">
        <v>23</v>
      </c>
      <c r="V158" s="197" t="s">
        <v>23</v>
      </c>
      <c r="W158" s="197" t="s">
        <v>23</v>
      </c>
      <c r="X158" s="391" t="s">
        <v>23</v>
      </c>
      <c r="Y158" s="201" t="s">
        <v>23</v>
      </c>
      <c r="Z158" s="199">
        <v>1</v>
      </c>
      <c r="AA158" s="194" t="s">
        <v>510</v>
      </c>
      <c r="AB158" s="195">
        <v>17565932</v>
      </c>
      <c r="AC158" s="195" t="s">
        <v>20</v>
      </c>
      <c r="AD158" s="197">
        <v>0.93006574666027897</v>
      </c>
      <c r="AE158" s="197">
        <v>1.23023E-2</v>
      </c>
      <c r="AF158" s="198">
        <v>3.78723E-9</v>
      </c>
      <c r="AG158" s="200">
        <v>30</v>
      </c>
      <c r="AH158" s="217" t="s">
        <v>512</v>
      </c>
      <c r="AI158" s="201">
        <v>6.1655419000000003E-2</v>
      </c>
      <c r="AJ158" s="202" t="s">
        <v>38</v>
      </c>
      <c r="AK158" s="203" t="s">
        <v>28</v>
      </c>
    </row>
    <row r="159" spans="2:37" ht="17" x14ac:dyDescent="0.2">
      <c r="B159" s="194">
        <v>107</v>
      </c>
      <c r="C159" s="195">
        <v>22</v>
      </c>
      <c r="D159" s="195" t="s">
        <v>2768</v>
      </c>
      <c r="E159" s="196" t="s">
        <v>1932</v>
      </c>
      <c r="F159" s="194" t="s">
        <v>513</v>
      </c>
      <c r="G159" s="195">
        <v>20867265</v>
      </c>
      <c r="H159" s="195" t="s">
        <v>40</v>
      </c>
      <c r="I159" s="195" t="s">
        <v>25</v>
      </c>
      <c r="J159" s="195" t="s">
        <v>514</v>
      </c>
      <c r="K159" s="197">
        <v>1.0623675975703299</v>
      </c>
      <c r="L159" s="197">
        <v>1.0800000000000001E-2</v>
      </c>
      <c r="M159" s="217">
        <v>2.3639999999999999E-8</v>
      </c>
      <c r="N159" s="391">
        <v>0</v>
      </c>
      <c r="O159" s="201">
        <v>0.50349999999999995</v>
      </c>
      <c r="P159" s="194" t="s">
        <v>22</v>
      </c>
      <c r="Q159" s="195" t="s">
        <v>23</v>
      </c>
      <c r="R159" s="195" t="s">
        <v>23</v>
      </c>
      <c r="S159" s="195" t="s">
        <v>23</v>
      </c>
      <c r="T159" s="195" t="s">
        <v>23</v>
      </c>
      <c r="U159" s="197" t="s">
        <v>23</v>
      </c>
      <c r="V159" s="197" t="s">
        <v>23</v>
      </c>
      <c r="W159" s="197" t="s">
        <v>23</v>
      </c>
      <c r="X159" s="391" t="s">
        <v>23</v>
      </c>
      <c r="Y159" s="201" t="s">
        <v>23</v>
      </c>
      <c r="Z159" s="199">
        <v>1</v>
      </c>
      <c r="AA159" s="194" t="s">
        <v>513</v>
      </c>
      <c r="AB159" s="195">
        <v>20867265</v>
      </c>
      <c r="AC159" s="195" t="s">
        <v>40</v>
      </c>
      <c r="AD159" s="197">
        <v>1.0623675975703299</v>
      </c>
      <c r="AE159" s="197">
        <v>1.08016E-2</v>
      </c>
      <c r="AF159" s="198">
        <v>2.1308000000000001E-8</v>
      </c>
      <c r="AG159" s="200">
        <v>41</v>
      </c>
      <c r="AH159" s="217" t="s">
        <v>515</v>
      </c>
      <c r="AI159" s="201">
        <v>0.20185982799999999</v>
      </c>
      <c r="AJ159" s="202" t="s">
        <v>38</v>
      </c>
      <c r="AK159" s="203" t="s">
        <v>28</v>
      </c>
    </row>
    <row r="160" spans="2:37" ht="17" x14ac:dyDescent="0.2">
      <c r="B160" s="130">
        <v>108</v>
      </c>
      <c r="C160" s="131">
        <v>22</v>
      </c>
      <c r="D160" s="131" t="s">
        <v>2769</v>
      </c>
      <c r="E160" s="132" t="s">
        <v>1933</v>
      </c>
      <c r="F160" s="130" t="s">
        <v>516</v>
      </c>
      <c r="G160" s="131">
        <v>21917450</v>
      </c>
      <c r="H160" s="131" t="s">
        <v>40</v>
      </c>
      <c r="I160" s="131" t="s">
        <v>25</v>
      </c>
      <c r="J160" s="131" t="s">
        <v>517</v>
      </c>
      <c r="K160" s="204">
        <v>1.1172831729505599</v>
      </c>
      <c r="L160" s="204">
        <v>1.14E-2</v>
      </c>
      <c r="M160" s="207">
        <v>2.3800000000000002E-22</v>
      </c>
      <c r="N160" s="392">
        <v>0</v>
      </c>
      <c r="O160" s="208">
        <v>0.69879999999999998</v>
      </c>
      <c r="P160" s="130" t="s">
        <v>22</v>
      </c>
      <c r="Q160" s="131" t="s">
        <v>23</v>
      </c>
      <c r="R160" s="131" t="s">
        <v>23</v>
      </c>
      <c r="S160" s="131" t="s">
        <v>23</v>
      </c>
      <c r="T160" s="131" t="s">
        <v>23</v>
      </c>
      <c r="U160" s="204" t="s">
        <v>23</v>
      </c>
      <c r="V160" s="204" t="s">
        <v>23</v>
      </c>
      <c r="W160" s="204" t="s">
        <v>23</v>
      </c>
      <c r="X160" s="392" t="s">
        <v>23</v>
      </c>
      <c r="Y160" s="208" t="s">
        <v>23</v>
      </c>
      <c r="Z160" s="205">
        <v>1</v>
      </c>
      <c r="AA160" s="130" t="s">
        <v>518</v>
      </c>
      <c r="AB160" s="131">
        <v>21977047</v>
      </c>
      <c r="AC160" s="131" t="s">
        <v>19</v>
      </c>
      <c r="AD160" s="204">
        <v>1.1151623503414501</v>
      </c>
      <c r="AE160" s="204">
        <v>1.12049E-2</v>
      </c>
      <c r="AF160" s="133">
        <v>2.2936000000000001E-22</v>
      </c>
      <c r="AG160" s="206">
        <v>58</v>
      </c>
      <c r="AH160" s="207" t="s">
        <v>519</v>
      </c>
      <c r="AI160" s="208">
        <v>3.3696138E-2</v>
      </c>
      <c r="AJ160" s="209" t="s">
        <v>520</v>
      </c>
      <c r="AK160" s="210" t="s">
        <v>28</v>
      </c>
    </row>
    <row r="161" spans="2:37" ht="17" x14ac:dyDescent="0.2">
      <c r="B161" s="194">
        <v>109</v>
      </c>
      <c r="C161" s="195">
        <v>22</v>
      </c>
      <c r="D161" s="195" t="s">
        <v>2770</v>
      </c>
      <c r="E161" s="196" t="s">
        <v>1934</v>
      </c>
      <c r="F161" s="194" t="s">
        <v>521</v>
      </c>
      <c r="G161" s="195">
        <v>37259605</v>
      </c>
      <c r="H161" s="195" t="s">
        <v>19</v>
      </c>
      <c r="I161" s="195" t="s">
        <v>20</v>
      </c>
      <c r="J161" s="195" t="s">
        <v>522</v>
      </c>
      <c r="K161" s="197">
        <v>0.90900925803457999</v>
      </c>
      <c r="L161" s="197">
        <v>1.2E-2</v>
      </c>
      <c r="M161" s="217">
        <v>1.5100000000000001E-15</v>
      </c>
      <c r="N161" s="391">
        <v>0</v>
      </c>
      <c r="O161" s="201">
        <v>0.6663</v>
      </c>
      <c r="P161" s="194" t="s">
        <v>22</v>
      </c>
      <c r="Q161" s="195" t="s">
        <v>23</v>
      </c>
      <c r="R161" s="195" t="s">
        <v>23</v>
      </c>
      <c r="S161" s="195" t="s">
        <v>23</v>
      </c>
      <c r="T161" s="195" t="s">
        <v>23</v>
      </c>
      <c r="U161" s="197" t="s">
        <v>23</v>
      </c>
      <c r="V161" s="197" t="s">
        <v>23</v>
      </c>
      <c r="W161" s="197" t="s">
        <v>23</v>
      </c>
      <c r="X161" s="391" t="s">
        <v>23</v>
      </c>
      <c r="Y161" s="201" t="s">
        <v>23</v>
      </c>
      <c r="Z161" s="199">
        <v>1</v>
      </c>
      <c r="AA161" s="194" t="s">
        <v>523</v>
      </c>
      <c r="AB161" s="195">
        <v>37255235</v>
      </c>
      <c r="AC161" s="195" t="s">
        <v>524</v>
      </c>
      <c r="AD161" s="197">
        <v>1.10915670348982</v>
      </c>
      <c r="AE161" s="197">
        <v>1.30045E-2</v>
      </c>
      <c r="AF161" s="198">
        <v>1.6328500000000001E-15</v>
      </c>
      <c r="AG161" s="200">
        <v>3</v>
      </c>
      <c r="AH161" s="217" t="s">
        <v>525</v>
      </c>
      <c r="AI161" s="201">
        <v>0.37977521199999997</v>
      </c>
      <c r="AJ161" s="202" t="s">
        <v>38</v>
      </c>
      <c r="AK161" s="203" t="s">
        <v>28</v>
      </c>
    </row>
    <row r="163" spans="2:37" x14ac:dyDescent="0.2">
      <c r="O163" s="22"/>
    </row>
    <row r="165" spans="2:37" x14ac:dyDescent="0.2">
      <c r="Z165" s="25"/>
    </row>
  </sheetData>
  <mergeCells count="3">
    <mergeCell ref="Z11:Z12"/>
    <mergeCell ref="AJ11:AJ12"/>
    <mergeCell ref="AK11:AK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F710-6265-9243-9F65-8411FEFE754D}">
  <dimension ref="B2:S8"/>
  <sheetViews>
    <sheetView workbookViewId="0"/>
  </sheetViews>
  <sheetFormatPr baseColWidth="10" defaultColWidth="11" defaultRowHeight="16" x14ac:dyDescent="0.2"/>
  <cols>
    <col min="1" max="1" width="4" customWidth="1"/>
    <col min="2" max="2" width="12.83203125" customWidth="1"/>
    <col min="3" max="3" width="13.5" bestFit="1" customWidth="1"/>
    <col min="4" max="4" width="15.6640625" customWidth="1"/>
    <col min="5" max="5" width="14" customWidth="1"/>
    <col min="6" max="6" width="29.5" customWidth="1"/>
    <col min="7" max="8" width="13.5" bestFit="1" customWidth="1"/>
    <col min="9" max="9" width="22" customWidth="1"/>
    <col min="10" max="12" width="13.5" bestFit="1" customWidth="1"/>
    <col min="13" max="13" width="14" customWidth="1"/>
    <col min="14" max="15" width="13.5" bestFit="1" customWidth="1"/>
    <col min="16" max="16" width="22" customWidth="1"/>
    <col min="17" max="19" width="13.5" bestFit="1" customWidth="1"/>
  </cols>
  <sheetData>
    <row r="2" spans="2:19" x14ac:dyDescent="0.2">
      <c r="B2" s="25" t="s">
        <v>2906</v>
      </c>
    </row>
    <row r="3" spans="2:19" x14ac:dyDescent="0.2">
      <c r="B3" s="181" t="s">
        <v>2794</v>
      </c>
    </row>
    <row r="5" spans="2:19" x14ac:dyDescent="0.2">
      <c r="B5" s="179" t="s">
        <v>1752</v>
      </c>
      <c r="C5" s="176"/>
      <c r="D5" s="176"/>
      <c r="E5" s="176"/>
      <c r="F5" s="177"/>
      <c r="G5" s="179" t="s">
        <v>2365</v>
      </c>
      <c r="H5" s="176"/>
      <c r="I5" s="176"/>
      <c r="J5" s="176"/>
      <c r="K5" s="176"/>
      <c r="L5" s="177"/>
      <c r="M5" s="180" t="s">
        <v>2366</v>
      </c>
      <c r="N5" s="176"/>
      <c r="O5" s="176"/>
      <c r="P5" s="176"/>
      <c r="Q5" s="176"/>
      <c r="R5" s="176"/>
      <c r="S5" s="177"/>
    </row>
    <row r="6" spans="2:19" x14ac:dyDescent="0.2">
      <c r="B6" s="75" t="s">
        <v>1751</v>
      </c>
      <c r="C6" s="77" t="s">
        <v>1</v>
      </c>
      <c r="D6" s="77" t="s">
        <v>2775</v>
      </c>
      <c r="E6" s="77" t="s">
        <v>9</v>
      </c>
      <c r="F6" s="15" t="s">
        <v>1750</v>
      </c>
      <c r="G6" s="75" t="s">
        <v>10</v>
      </c>
      <c r="H6" s="77" t="s">
        <v>11</v>
      </c>
      <c r="I6" s="77" t="s">
        <v>12</v>
      </c>
      <c r="J6" s="77" t="s">
        <v>13</v>
      </c>
      <c r="K6" s="77" t="s">
        <v>14</v>
      </c>
      <c r="L6" s="79" t="s">
        <v>1741</v>
      </c>
      <c r="M6" s="77" t="s">
        <v>9</v>
      </c>
      <c r="N6" s="77" t="s">
        <v>10</v>
      </c>
      <c r="O6" s="77" t="s">
        <v>11</v>
      </c>
      <c r="P6" s="77" t="s">
        <v>12</v>
      </c>
      <c r="Q6" s="77" t="s">
        <v>13</v>
      </c>
      <c r="R6" s="77" t="s">
        <v>14</v>
      </c>
      <c r="S6" s="79" t="s">
        <v>1741</v>
      </c>
    </row>
    <row r="7" spans="2:19" x14ac:dyDescent="0.2">
      <c r="B7" s="66" t="s">
        <v>1742</v>
      </c>
      <c r="C7" s="67">
        <v>13</v>
      </c>
      <c r="D7" s="67" t="s">
        <v>2776</v>
      </c>
      <c r="E7" s="67">
        <v>40333369</v>
      </c>
      <c r="F7" s="21" t="s">
        <v>1743</v>
      </c>
      <c r="G7" s="66" t="s">
        <v>19</v>
      </c>
      <c r="H7" s="67" t="s">
        <v>20</v>
      </c>
      <c r="I7" s="67" t="s">
        <v>1744</v>
      </c>
      <c r="J7" s="68">
        <v>1.0454004314401399</v>
      </c>
      <c r="K7" s="68">
        <v>9.4999999999999998E-3</v>
      </c>
      <c r="L7" s="128">
        <v>3.112E-6</v>
      </c>
      <c r="M7" s="67">
        <v>40299842</v>
      </c>
      <c r="N7" s="67" t="s">
        <v>40</v>
      </c>
      <c r="O7" s="67" t="s">
        <v>1745</v>
      </c>
      <c r="P7" s="67" t="s">
        <v>1746</v>
      </c>
      <c r="Q7" s="68">
        <v>0.94752685444976703</v>
      </c>
      <c r="R7" s="68">
        <v>1.06E-2</v>
      </c>
      <c r="S7" s="128">
        <v>3.7409999999999999E-7</v>
      </c>
    </row>
    <row r="8" spans="2:19" x14ac:dyDescent="0.2">
      <c r="B8" s="75" t="s">
        <v>1747</v>
      </c>
      <c r="C8" s="77">
        <v>21</v>
      </c>
      <c r="D8" s="77" t="s">
        <v>2777</v>
      </c>
      <c r="E8" s="77">
        <v>36470865</v>
      </c>
      <c r="F8" s="15" t="s">
        <v>1743</v>
      </c>
      <c r="G8" s="75" t="s">
        <v>19</v>
      </c>
      <c r="H8" s="77" t="s">
        <v>20</v>
      </c>
      <c r="I8" s="77" t="s">
        <v>1748</v>
      </c>
      <c r="J8" s="178">
        <v>1.04602785990872</v>
      </c>
      <c r="K8" s="178">
        <v>1.1299999999999999E-2</v>
      </c>
      <c r="L8" s="129">
        <v>6.5030000000000006E-5</v>
      </c>
      <c r="M8" s="77">
        <v>36506470</v>
      </c>
      <c r="N8" s="77" t="s">
        <v>19</v>
      </c>
      <c r="O8" s="77" t="s">
        <v>25</v>
      </c>
      <c r="P8" s="77" t="s">
        <v>1749</v>
      </c>
      <c r="Q8" s="178">
        <v>1.0874113897811899</v>
      </c>
      <c r="R8" s="178">
        <v>1.5599999999999999E-2</v>
      </c>
      <c r="S8" s="129">
        <v>8.4499999999999996E-8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3F03-3DDB-F749-9F22-8FFF72775A8F}">
  <dimension ref="B2:M63"/>
  <sheetViews>
    <sheetView zoomScaleNormal="100" workbookViewId="0"/>
  </sheetViews>
  <sheetFormatPr baseColWidth="10" defaultColWidth="11" defaultRowHeight="16" x14ac:dyDescent="0.2"/>
  <cols>
    <col min="1" max="1" width="4" customWidth="1"/>
    <col min="4" max="4" width="16.33203125" bestFit="1" customWidth="1"/>
    <col min="5" max="5" width="14.6640625" customWidth="1"/>
    <col min="9" max="9" width="13.5" bestFit="1" customWidth="1"/>
    <col min="11" max="11" width="18.1640625" customWidth="1"/>
    <col min="12" max="12" width="37.1640625" customWidth="1"/>
    <col min="13" max="13" width="53.6640625" customWidth="1"/>
  </cols>
  <sheetData>
    <row r="2" spans="2:13" x14ac:dyDescent="0.2">
      <c r="B2" s="25" t="s">
        <v>2907</v>
      </c>
    </row>
    <row r="3" spans="2:13" x14ac:dyDescent="0.2">
      <c r="B3" t="s">
        <v>2324</v>
      </c>
    </row>
    <row r="4" spans="2:13" ht="19" x14ac:dyDescent="0.2">
      <c r="B4" t="s">
        <v>2795</v>
      </c>
    </row>
    <row r="5" spans="2:13" ht="19" x14ac:dyDescent="0.2">
      <c r="B5" t="s">
        <v>2796</v>
      </c>
    </row>
    <row r="6" spans="2:13" ht="19" x14ac:dyDescent="0.2">
      <c r="B6" t="s">
        <v>2797</v>
      </c>
    </row>
    <row r="8" spans="2:13" ht="16" customHeight="1" x14ac:dyDescent="0.2">
      <c r="B8" s="549" t="s">
        <v>0</v>
      </c>
      <c r="C8" s="551" t="s">
        <v>1</v>
      </c>
      <c r="D8" s="4" t="s">
        <v>2325</v>
      </c>
      <c r="E8" s="5"/>
      <c r="F8" s="5"/>
      <c r="G8" s="5"/>
      <c r="H8" s="5"/>
      <c r="I8" s="5"/>
      <c r="J8" s="6"/>
      <c r="K8" s="541" t="s">
        <v>5</v>
      </c>
      <c r="L8" s="545" t="s">
        <v>2799</v>
      </c>
      <c r="M8" s="547" t="s">
        <v>2800</v>
      </c>
    </row>
    <row r="9" spans="2:13" ht="19" x14ac:dyDescent="0.2">
      <c r="B9" s="550"/>
      <c r="C9" s="552"/>
      <c r="D9" s="8" t="s">
        <v>8</v>
      </c>
      <c r="E9" s="9" t="s">
        <v>9</v>
      </c>
      <c r="F9" s="9" t="s">
        <v>10</v>
      </c>
      <c r="G9" s="9" t="s">
        <v>11</v>
      </c>
      <c r="H9" s="9" t="s">
        <v>13</v>
      </c>
      <c r="I9" s="9" t="s">
        <v>14</v>
      </c>
      <c r="J9" s="10" t="s">
        <v>2798</v>
      </c>
      <c r="K9" s="542"/>
      <c r="L9" s="546"/>
      <c r="M9" s="548"/>
    </row>
    <row r="10" spans="2:13" ht="34" x14ac:dyDescent="0.2">
      <c r="B10" s="302">
        <v>2</v>
      </c>
      <c r="C10" s="303">
        <v>1</v>
      </c>
      <c r="D10" s="302" t="s">
        <v>31</v>
      </c>
      <c r="E10" s="303">
        <v>12047368</v>
      </c>
      <c r="F10" s="303" t="s">
        <v>32</v>
      </c>
      <c r="G10" s="303" t="s">
        <v>20</v>
      </c>
      <c r="H10" s="304">
        <v>0.918787879423964</v>
      </c>
      <c r="I10" s="304">
        <v>1.09E-2</v>
      </c>
      <c r="J10" s="305">
        <v>6.3389999999999999E-15</v>
      </c>
      <c r="K10" s="306">
        <v>1</v>
      </c>
      <c r="L10" s="322" t="s">
        <v>1970</v>
      </c>
      <c r="M10" s="323" t="s">
        <v>1971</v>
      </c>
    </row>
    <row r="11" spans="2:13" ht="51" x14ac:dyDescent="0.2">
      <c r="B11" s="307">
        <v>3</v>
      </c>
      <c r="C11" s="308">
        <v>1</v>
      </c>
      <c r="D11" s="307" t="s">
        <v>39</v>
      </c>
      <c r="E11" s="308">
        <v>16128205</v>
      </c>
      <c r="F11" s="308" t="s">
        <v>40</v>
      </c>
      <c r="G11" s="308" t="s">
        <v>25</v>
      </c>
      <c r="H11" s="309">
        <v>0.94317824039966702</v>
      </c>
      <c r="I11" s="309">
        <v>1.0699999999999999E-2</v>
      </c>
      <c r="J11" s="310">
        <v>4.6210000000000002E-8</v>
      </c>
      <c r="K11" s="311">
        <v>1</v>
      </c>
      <c r="L11" s="324" t="s">
        <v>1972</v>
      </c>
      <c r="M11" s="325" t="s">
        <v>1973</v>
      </c>
    </row>
    <row r="12" spans="2:13" ht="34" x14ac:dyDescent="0.2">
      <c r="B12" s="307">
        <v>6</v>
      </c>
      <c r="C12" s="308">
        <v>1</v>
      </c>
      <c r="D12" s="307" t="s">
        <v>54</v>
      </c>
      <c r="E12" s="308">
        <v>33556279</v>
      </c>
      <c r="F12" s="308" t="s">
        <v>19</v>
      </c>
      <c r="G12" s="308" t="s">
        <v>20</v>
      </c>
      <c r="H12" s="309">
        <v>1.0680130931856699</v>
      </c>
      <c r="I12" s="309">
        <v>1.1299999999999999E-2</v>
      </c>
      <c r="J12" s="310">
        <v>5.5889999999999996E-9</v>
      </c>
      <c r="K12" s="311">
        <v>1</v>
      </c>
      <c r="L12" s="324" t="s">
        <v>1980</v>
      </c>
      <c r="M12" s="325" t="s">
        <v>1981</v>
      </c>
    </row>
    <row r="13" spans="2:13" ht="34" x14ac:dyDescent="0.2">
      <c r="B13" s="307">
        <v>10</v>
      </c>
      <c r="C13" s="308">
        <v>1</v>
      </c>
      <c r="D13" s="307" t="s">
        <v>75</v>
      </c>
      <c r="E13" s="308">
        <v>161493545</v>
      </c>
      <c r="F13" s="308" t="s">
        <v>19</v>
      </c>
      <c r="G13" s="308" t="s">
        <v>20</v>
      </c>
      <c r="H13" s="309">
        <v>0.93847411930066404</v>
      </c>
      <c r="I13" s="309">
        <v>1.0800000000000001E-2</v>
      </c>
      <c r="J13" s="310">
        <v>4.5859999999999997E-9</v>
      </c>
      <c r="K13" s="311">
        <v>1</v>
      </c>
      <c r="L13" s="324" t="s">
        <v>1993</v>
      </c>
      <c r="M13" s="325" t="s">
        <v>1994</v>
      </c>
    </row>
    <row r="14" spans="2:13" ht="17" x14ac:dyDescent="0.2">
      <c r="B14" s="307">
        <v>11</v>
      </c>
      <c r="C14" s="308">
        <v>1</v>
      </c>
      <c r="D14" s="307" t="s">
        <v>77</v>
      </c>
      <c r="E14" s="308">
        <v>168507463</v>
      </c>
      <c r="F14" s="308" t="s">
        <v>19</v>
      </c>
      <c r="G14" s="308" t="s">
        <v>20</v>
      </c>
      <c r="H14" s="309">
        <v>0.91566930521430501</v>
      </c>
      <c r="I14" s="309">
        <v>1.32E-2</v>
      </c>
      <c r="J14" s="310">
        <v>2.7479999999999998E-11</v>
      </c>
      <c r="K14" s="311">
        <v>1</v>
      </c>
      <c r="L14" s="324" t="s">
        <v>1995</v>
      </c>
      <c r="M14" s="325" t="s">
        <v>1996</v>
      </c>
    </row>
    <row r="15" spans="2:13" ht="17" x14ac:dyDescent="0.2">
      <c r="B15" s="307">
        <v>15</v>
      </c>
      <c r="C15" s="308">
        <v>2</v>
      </c>
      <c r="D15" s="307" t="s">
        <v>94</v>
      </c>
      <c r="E15" s="308">
        <v>25069727</v>
      </c>
      <c r="F15" s="308" t="s">
        <v>19</v>
      </c>
      <c r="G15" s="308" t="s">
        <v>20</v>
      </c>
      <c r="H15" s="309">
        <v>0.90284896381793001</v>
      </c>
      <c r="I15" s="309">
        <v>1.4999999999999999E-2</v>
      </c>
      <c r="J15" s="310">
        <v>8.0430000000000004E-12</v>
      </c>
      <c r="K15" s="311">
        <v>1</v>
      </c>
      <c r="L15" s="324" t="s">
        <v>2004</v>
      </c>
      <c r="M15" s="325" t="s">
        <v>2005</v>
      </c>
    </row>
    <row r="16" spans="2:13" ht="17" x14ac:dyDescent="0.2">
      <c r="B16" s="307">
        <v>17</v>
      </c>
      <c r="C16" s="308">
        <v>2</v>
      </c>
      <c r="D16" s="307" t="s">
        <v>104</v>
      </c>
      <c r="E16" s="308">
        <v>102600083</v>
      </c>
      <c r="F16" s="308" t="s">
        <v>19</v>
      </c>
      <c r="G16" s="308" t="s">
        <v>20</v>
      </c>
      <c r="H16" s="309">
        <v>0.94676913609396096</v>
      </c>
      <c r="I16" s="309">
        <v>9.7999999999999997E-3</v>
      </c>
      <c r="J16" s="310">
        <v>2.274E-8</v>
      </c>
      <c r="K16" s="311">
        <v>1</v>
      </c>
      <c r="L16" s="324" t="s">
        <v>2011</v>
      </c>
      <c r="M16" s="325" t="s">
        <v>2012</v>
      </c>
    </row>
    <row r="17" spans="2:13" ht="17" x14ac:dyDescent="0.2">
      <c r="B17" s="307">
        <v>18</v>
      </c>
      <c r="C17" s="308">
        <v>2</v>
      </c>
      <c r="D17" s="307" t="s">
        <v>107</v>
      </c>
      <c r="E17" s="308">
        <v>111629125</v>
      </c>
      <c r="F17" s="308" t="s">
        <v>19</v>
      </c>
      <c r="G17" s="308" t="s">
        <v>25</v>
      </c>
      <c r="H17" s="309">
        <v>0.94176453358424905</v>
      </c>
      <c r="I17" s="309">
        <v>9.7999999999999997E-3</v>
      </c>
      <c r="J17" s="310">
        <v>7.6670000000000005E-10</v>
      </c>
      <c r="K17" s="311">
        <v>1</v>
      </c>
      <c r="L17" s="324" t="s">
        <v>2014</v>
      </c>
      <c r="M17" s="325" t="s">
        <v>2015</v>
      </c>
    </row>
    <row r="18" spans="2:13" ht="34" x14ac:dyDescent="0.2">
      <c r="B18" s="307">
        <v>20</v>
      </c>
      <c r="C18" s="308">
        <v>2</v>
      </c>
      <c r="D18" s="307" t="s">
        <v>116</v>
      </c>
      <c r="E18" s="308">
        <v>198534100</v>
      </c>
      <c r="F18" s="308" t="s">
        <v>117</v>
      </c>
      <c r="G18" s="308" t="s">
        <v>20</v>
      </c>
      <c r="H18" s="309">
        <v>0.93108938187775803</v>
      </c>
      <c r="I18" s="309">
        <v>1.29E-2</v>
      </c>
      <c r="J18" s="310">
        <v>3.1669999999999998E-8</v>
      </c>
      <c r="K18" s="311">
        <v>1</v>
      </c>
      <c r="L18" s="324" t="s">
        <v>2019</v>
      </c>
      <c r="M18" s="325" t="s">
        <v>2020</v>
      </c>
    </row>
    <row r="19" spans="2:13" ht="17" x14ac:dyDescent="0.2">
      <c r="B19" s="307">
        <v>21</v>
      </c>
      <c r="C19" s="308">
        <v>2</v>
      </c>
      <c r="D19" s="307" t="s">
        <v>121</v>
      </c>
      <c r="E19" s="308">
        <v>231156484</v>
      </c>
      <c r="F19" s="308" t="s">
        <v>19</v>
      </c>
      <c r="G19" s="308" t="s">
        <v>25</v>
      </c>
      <c r="H19" s="309">
        <v>1.0751928060901501</v>
      </c>
      <c r="I19" s="309">
        <v>1.2E-2</v>
      </c>
      <c r="J19" s="310">
        <v>1.397E-9</v>
      </c>
      <c r="K19" s="311">
        <v>1</v>
      </c>
      <c r="L19" s="324" t="s">
        <v>2021</v>
      </c>
      <c r="M19" s="325" t="s">
        <v>2022</v>
      </c>
    </row>
    <row r="20" spans="2:13" ht="17" x14ac:dyDescent="0.2">
      <c r="B20" s="307">
        <v>22</v>
      </c>
      <c r="C20" s="308">
        <v>2</v>
      </c>
      <c r="D20" s="307" t="s">
        <v>124</v>
      </c>
      <c r="E20" s="308">
        <v>234110944</v>
      </c>
      <c r="F20" s="308" t="s">
        <v>40</v>
      </c>
      <c r="G20" s="308" t="s">
        <v>25</v>
      </c>
      <c r="H20" s="309">
        <v>1.0582324327525201</v>
      </c>
      <c r="I20" s="309">
        <v>9.4000000000000004E-3</v>
      </c>
      <c r="J20" s="310">
        <v>1.4289999999999999E-9</v>
      </c>
      <c r="K20" s="311">
        <v>1</v>
      </c>
      <c r="L20" s="324" t="s">
        <v>2023</v>
      </c>
      <c r="M20" s="325" t="s">
        <v>2024</v>
      </c>
    </row>
    <row r="21" spans="2:13" ht="34" x14ac:dyDescent="0.2">
      <c r="B21" s="307">
        <v>23</v>
      </c>
      <c r="C21" s="308">
        <v>2</v>
      </c>
      <c r="D21" s="307" t="s">
        <v>127</v>
      </c>
      <c r="E21" s="308">
        <v>239007563</v>
      </c>
      <c r="F21" s="308" t="s">
        <v>19</v>
      </c>
      <c r="G21" s="308" t="s">
        <v>20</v>
      </c>
      <c r="H21" s="309">
        <v>1.0664122744600899</v>
      </c>
      <c r="I21" s="309">
        <v>1.0800000000000001E-2</v>
      </c>
      <c r="J21" s="310">
        <v>2.9079999999999999E-9</v>
      </c>
      <c r="K21" s="311">
        <v>1</v>
      </c>
      <c r="L21" s="324" t="s">
        <v>2025</v>
      </c>
      <c r="M21" s="325" t="s">
        <v>2026</v>
      </c>
    </row>
    <row r="22" spans="2:13" ht="17" x14ac:dyDescent="0.2">
      <c r="B22" s="307">
        <v>26</v>
      </c>
      <c r="C22" s="308">
        <v>3</v>
      </c>
      <c r="D22" s="307" t="s">
        <v>138</v>
      </c>
      <c r="E22" s="308">
        <v>156542637</v>
      </c>
      <c r="F22" s="308" t="s">
        <v>20</v>
      </c>
      <c r="G22" s="308" t="s">
        <v>25</v>
      </c>
      <c r="H22" s="309">
        <v>0.94961370822701396</v>
      </c>
      <c r="I22" s="309">
        <v>9.4000000000000004E-3</v>
      </c>
      <c r="J22" s="310">
        <v>3.32E-8</v>
      </c>
      <c r="K22" s="311">
        <v>1</v>
      </c>
      <c r="L22" s="324" t="s">
        <v>2033</v>
      </c>
      <c r="M22" s="325" t="s">
        <v>2034</v>
      </c>
    </row>
    <row r="23" spans="2:13" ht="17" x14ac:dyDescent="0.2">
      <c r="B23" s="307">
        <v>27</v>
      </c>
      <c r="C23" s="308">
        <v>3</v>
      </c>
      <c r="D23" s="307" t="s">
        <v>140</v>
      </c>
      <c r="E23" s="308">
        <v>188121019</v>
      </c>
      <c r="F23" s="308" t="s">
        <v>19</v>
      </c>
      <c r="G23" s="308" t="s">
        <v>20</v>
      </c>
      <c r="H23" s="309">
        <v>0.95065885803307104</v>
      </c>
      <c r="I23" s="309">
        <v>9.1999999999999998E-3</v>
      </c>
      <c r="J23" s="310">
        <v>3.4340000000000002E-8</v>
      </c>
      <c r="K23" s="311">
        <v>1</v>
      </c>
      <c r="L23" s="324" t="s">
        <v>2035</v>
      </c>
      <c r="M23" s="325" t="s">
        <v>2036</v>
      </c>
    </row>
    <row r="24" spans="2:13" ht="17" x14ac:dyDescent="0.2">
      <c r="B24" s="307">
        <v>28</v>
      </c>
      <c r="C24" s="308">
        <v>3</v>
      </c>
      <c r="D24" s="307" t="s">
        <v>143</v>
      </c>
      <c r="E24" s="308">
        <v>189220585</v>
      </c>
      <c r="F24" s="308" t="s">
        <v>40</v>
      </c>
      <c r="G24" s="308" t="s">
        <v>25</v>
      </c>
      <c r="H24" s="309">
        <v>1.1669575764648701</v>
      </c>
      <c r="I24" s="309">
        <v>2.5700000000000001E-2</v>
      </c>
      <c r="J24" s="310">
        <v>1.827E-9</v>
      </c>
      <c r="K24" s="311">
        <v>1</v>
      </c>
      <c r="L24" s="324" t="s">
        <v>2037</v>
      </c>
      <c r="M24" s="325" t="s">
        <v>2038</v>
      </c>
    </row>
    <row r="25" spans="2:13" ht="34" x14ac:dyDescent="0.2">
      <c r="B25" s="307">
        <v>30</v>
      </c>
      <c r="C25" s="308">
        <v>3</v>
      </c>
      <c r="D25" s="307" t="s">
        <v>150</v>
      </c>
      <c r="E25" s="308">
        <v>196349234</v>
      </c>
      <c r="F25" s="308" t="s">
        <v>19</v>
      </c>
      <c r="G25" s="308" t="s">
        <v>20</v>
      </c>
      <c r="H25" s="309">
        <v>1.0537971770916701</v>
      </c>
      <c r="I25" s="309">
        <v>9.2999999999999992E-3</v>
      </c>
      <c r="J25" s="310">
        <v>1.5729999999999999E-8</v>
      </c>
      <c r="K25" s="311">
        <v>1</v>
      </c>
      <c r="L25" s="324" t="s">
        <v>2042</v>
      </c>
      <c r="M25" s="325" t="s">
        <v>2043</v>
      </c>
    </row>
    <row r="26" spans="2:13" ht="34" x14ac:dyDescent="0.2">
      <c r="B26" s="317">
        <v>31</v>
      </c>
      <c r="C26" s="318">
        <v>4</v>
      </c>
      <c r="D26" s="317" t="s">
        <v>153</v>
      </c>
      <c r="E26" s="318">
        <v>123539854</v>
      </c>
      <c r="F26" s="318" t="s">
        <v>40</v>
      </c>
      <c r="G26" s="318" t="s">
        <v>25</v>
      </c>
      <c r="H26" s="319">
        <v>0.91667709563315203</v>
      </c>
      <c r="I26" s="319">
        <v>1.2500000000000001E-2</v>
      </c>
      <c r="J26" s="320">
        <v>2.9259999999999999E-12</v>
      </c>
      <c r="K26" s="321">
        <v>2</v>
      </c>
      <c r="L26" s="326" t="s">
        <v>2044</v>
      </c>
      <c r="M26" s="327" t="s">
        <v>2045</v>
      </c>
    </row>
    <row r="27" spans="2:13" ht="17" x14ac:dyDescent="0.2">
      <c r="B27" s="307">
        <v>32</v>
      </c>
      <c r="C27" s="308">
        <v>5</v>
      </c>
      <c r="D27" s="307" t="s">
        <v>159</v>
      </c>
      <c r="E27" s="308">
        <v>35846815</v>
      </c>
      <c r="F27" s="308" t="s">
        <v>19</v>
      </c>
      <c r="G27" s="308" t="s">
        <v>25</v>
      </c>
      <c r="H27" s="309">
        <v>0.94866456916741104</v>
      </c>
      <c r="I27" s="309">
        <v>9.5999999999999992E-3</v>
      </c>
      <c r="J27" s="310">
        <v>4.6609999999999998E-8</v>
      </c>
      <c r="K27" s="311">
        <v>1</v>
      </c>
      <c r="L27" s="324" t="s">
        <v>2047</v>
      </c>
      <c r="M27" s="325" t="s">
        <v>2048</v>
      </c>
    </row>
    <row r="28" spans="2:13" ht="17" x14ac:dyDescent="0.2">
      <c r="B28" s="307">
        <v>34</v>
      </c>
      <c r="C28" s="308">
        <v>5</v>
      </c>
      <c r="D28" s="307" t="s">
        <v>167</v>
      </c>
      <c r="E28" s="308">
        <v>56058487</v>
      </c>
      <c r="F28" s="308" t="s">
        <v>40</v>
      </c>
      <c r="G28" s="308" t="s">
        <v>25</v>
      </c>
      <c r="H28" s="309">
        <v>0.90592387468121505</v>
      </c>
      <c r="I28" s="309">
        <v>1.4500000000000001E-2</v>
      </c>
      <c r="J28" s="310">
        <v>9.0809999999999998E-12</v>
      </c>
      <c r="K28" s="311">
        <v>1</v>
      </c>
      <c r="L28" s="324" t="s">
        <v>2051</v>
      </c>
      <c r="M28" s="325" t="s">
        <v>2052</v>
      </c>
    </row>
    <row r="29" spans="2:13" ht="17" x14ac:dyDescent="0.2">
      <c r="B29" s="307">
        <v>45</v>
      </c>
      <c r="C29" s="308">
        <v>7</v>
      </c>
      <c r="D29" s="307" t="s">
        <v>236</v>
      </c>
      <c r="E29" s="308">
        <v>17165436</v>
      </c>
      <c r="F29" s="308" t="s">
        <v>19</v>
      </c>
      <c r="G29" s="308" t="s">
        <v>20</v>
      </c>
      <c r="H29" s="309">
        <v>1.06332415879612</v>
      </c>
      <c r="I29" s="309">
        <v>1.0800000000000001E-2</v>
      </c>
      <c r="J29" s="310">
        <v>1.261E-8</v>
      </c>
      <c r="K29" s="311">
        <v>1</v>
      </c>
      <c r="L29" s="324" t="s">
        <v>2088</v>
      </c>
      <c r="M29" s="325" t="s">
        <v>2089</v>
      </c>
    </row>
    <row r="30" spans="2:13" ht="17" x14ac:dyDescent="0.2">
      <c r="B30" s="307">
        <v>46</v>
      </c>
      <c r="C30" s="308">
        <v>7</v>
      </c>
      <c r="D30" s="307" t="s">
        <v>239</v>
      </c>
      <c r="E30" s="308">
        <v>29132279</v>
      </c>
      <c r="F30" s="308" t="s">
        <v>40</v>
      </c>
      <c r="G30" s="308" t="s">
        <v>25</v>
      </c>
      <c r="H30" s="309">
        <v>0.86666739782222502</v>
      </c>
      <c r="I30" s="309">
        <v>2.52E-2</v>
      </c>
      <c r="J30" s="310">
        <v>1.371E-8</v>
      </c>
      <c r="K30" s="311">
        <v>1</v>
      </c>
      <c r="L30" s="324" t="s">
        <v>2091</v>
      </c>
      <c r="M30" s="325" t="s">
        <v>2092</v>
      </c>
    </row>
    <row r="31" spans="2:13" ht="34" x14ac:dyDescent="0.2">
      <c r="B31" s="307">
        <v>48</v>
      </c>
      <c r="C31" s="308">
        <v>7</v>
      </c>
      <c r="D31" s="307" t="s">
        <v>246</v>
      </c>
      <c r="E31" s="308">
        <v>128567032</v>
      </c>
      <c r="F31" s="308" t="s">
        <v>19</v>
      </c>
      <c r="G31" s="308" t="s">
        <v>20</v>
      </c>
      <c r="H31" s="309">
        <v>0.93669271134745502</v>
      </c>
      <c r="I31" s="309">
        <v>9.1999999999999998E-3</v>
      </c>
      <c r="J31" s="310">
        <v>1.263E-12</v>
      </c>
      <c r="K31" s="311">
        <v>1</v>
      </c>
      <c r="L31" s="324" t="s">
        <v>2096</v>
      </c>
      <c r="M31" s="325" t="s">
        <v>2097</v>
      </c>
    </row>
    <row r="32" spans="2:13" ht="34" x14ac:dyDescent="0.2">
      <c r="B32" s="317">
        <v>49</v>
      </c>
      <c r="C32" s="318">
        <v>8</v>
      </c>
      <c r="D32" s="317" t="s">
        <v>249</v>
      </c>
      <c r="E32" s="318">
        <v>61841979</v>
      </c>
      <c r="F32" s="318" t="s">
        <v>40</v>
      </c>
      <c r="G32" s="318" t="s">
        <v>25</v>
      </c>
      <c r="H32" s="319">
        <v>1.16102124334136</v>
      </c>
      <c r="I32" s="319">
        <v>2.1600000000000001E-2</v>
      </c>
      <c r="J32" s="320">
        <v>4.9789999999999997E-12</v>
      </c>
      <c r="K32" s="321">
        <v>2</v>
      </c>
      <c r="L32" s="326" t="s">
        <v>2098</v>
      </c>
      <c r="M32" s="327" t="s">
        <v>2099</v>
      </c>
    </row>
    <row r="33" spans="2:13" ht="17" x14ac:dyDescent="0.2">
      <c r="B33" s="307">
        <v>50</v>
      </c>
      <c r="C33" s="308">
        <v>8</v>
      </c>
      <c r="D33" s="307" t="s">
        <v>253</v>
      </c>
      <c r="E33" s="308">
        <v>81298643</v>
      </c>
      <c r="F33" s="308" t="s">
        <v>19</v>
      </c>
      <c r="G33" s="308" t="s">
        <v>25</v>
      </c>
      <c r="H33" s="309">
        <v>0.93314003340747598</v>
      </c>
      <c r="I33" s="309">
        <v>9.7999999999999997E-3</v>
      </c>
      <c r="J33" s="310">
        <v>2.0789999999999999E-12</v>
      </c>
      <c r="K33" s="311">
        <v>1</v>
      </c>
      <c r="L33" s="324" t="s">
        <v>2100</v>
      </c>
      <c r="M33" s="325" t="s">
        <v>2101</v>
      </c>
    </row>
    <row r="34" spans="2:13" ht="17" x14ac:dyDescent="0.2">
      <c r="B34" s="307">
        <v>51</v>
      </c>
      <c r="C34" s="308">
        <v>8</v>
      </c>
      <c r="D34" s="307" t="s">
        <v>256</v>
      </c>
      <c r="E34" s="308">
        <v>126439406</v>
      </c>
      <c r="F34" s="308" t="s">
        <v>19</v>
      </c>
      <c r="G34" s="308" t="s">
        <v>20</v>
      </c>
      <c r="H34" s="309">
        <v>0.94431073364819595</v>
      </c>
      <c r="I34" s="309">
        <v>9.4999999999999998E-3</v>
      </c>
      <c r="J34" s="310">
        <v>1.7510000000000001E-9</v>
      </c>
      <c r="K34" s="311">
        <v>1</v>
      </c>
      <c r="L34" s="324" t="s">
        <v>2102</v>
      </c>
      <c r="M34" s="325" t="s">
        <v>2103</v>
      </c>
    </row>
    <row r="35" spans="2:13" ht="17" x14ac:dyDescent="0.2">
      <c r="B35" s="307">
        <v>52</v>
      </c>
      <c r="C35" s="308">
        <v>8</v>
      </c>
      <c r="D35" s="307" t="s">
        <v>259</v>
      </c>
      <c r="E35" s="308">
        <v>129561216</v>
      </c>
      <c r="F35" s="308" t="s">
        <v>260</v>
      </c>
      <c r="G35" s="308" t="s">
        <v>20</v>
      </c>
      <c r="H35" s="309">
        <v>0.91989108667123598</v>
      </c>
      <c r="I35" s="309">
        <v>1.4200000000000001E-2</v>
      </c>
      <c r="J35" s="310">
        <v>3.7749999999999999E-9</v>
      </c>
      <c r="K35" s="311">
        <v>1</v>
      </c>
      <c r="L35" s="324" t="s">
        <v>2104</v>
      </c>
      <c r="M35" s="325" t="s">
        <v>38</v>
      </c>
    </row>
    <row r="36" spans="2:13" ht="17" x14ac:dyDescent="0.2">
      <c r="B36" s="307">
        <v>56</v>
      </c>
      <c r="C36" s="308">
        <v>10</v>
      </c>
      <c r="D36" s="307" t="s">
        <v>279</v>
      </c>
      <c r="E36" s="308">
        <v>6094697</v>
      </c>
      <c r="F36" s="308" t="s">
        <v>19</v>
      </c>
      <c r="G36" s="308" t="s">
        <v>20</v>
      </c>
      <c r="H36" s="309">
        <v>1.1171714502195</v>
      </c>
      <c r="I36" s="309">
        <v>1.6E-2</v>
      </c>
      <c r="J36" s="310">
        <v>4.8419999999999998E-12</v>
      </c>
      <c r="K36" s="311">
        <v>1</v>
      </c>
      <c r="L36" s="324" t="s">
        <v>2113</v>
      </c>
      <c r="M36" s="325" t="s">
        <v>2114</v>
      </c>
    </row>
    <row r="37" spans="2:13" ht="17" x14ac:dyDescent="0.2">
      <c r="B37" s="307">
        <v>57</v>
      </c>
      <c r="C37" s="308">
        <v>10</v>
      </c>
      <c r="D37" s="307" t="s">
        <v>282</v>
      </c>
      <c r="E37" s="308">
        <v>6520458</v>
      </c>
      <c r="F37" s="308" t="s">
        <v>40</v>
      </c>
      <c r="G37" s="308" t="s">
        <v>25</v>
      </c>
      <c r="H37" s="309">
        <v>1.0571747292596501</v>
      </c>
      <c r="I37" s="309">
        <v>9.9000000000000008E-3</v>
      </c>
      <c r="J37" s="310">
        <v>1.9980000000000001E-8</v>
      </c>
      <c r="K37" s="311">
        <v>1</v>
      </c>
      <c r="L37" s="324" t="s">
        <v>2115</v>
      </c>
      <c r="M37" s="325" t="s">
        <v>2116</v>
      </c>
    </row>
    <row r="38" spans="2:13" ht="17" x14ac:dyDescent="0.2">
      <c r="B38" s="307">
        <v>62</v>
      </c>
      <c r="C38" s="308">
        <v>10</v>
      </c>
      <c r="D38" s="307" t="s">
        <v>300</v>
      </c>
      <c r="E38" s="308">
        <v>94429708</v>
      </c>
      <c r="F38" s="308" t="s">
        <v>19</v>
      </c>
      <c r="G38" s="308" t="s">
        <v>25</v>
      </c>
      <c r="H38" s="309">
        <v>1.0608813235682899</v>
      </c>
      <c r="I38" s="309">
        <v>1.04E-2</v>
      </c>
      <c r="J38" s="310">
        <v>1.1819999999999999E-8</v>
      </c>
      <c r="K38" s="311">
        <v>1</v>
      </c>
      <c r="L38" s="324" t="s">
        <v>2129</v>
      </c>
      <c r="M38" s="325" t="s">
        <v>2130</v>
      </c>
    </row>
    <row r="39" spans="2:13" ht="17" x14ac:dyDescent="0.2">
      <c r="B39" s="307">
        <v>64</v>
      </c>
      <c r="C39" s="308">
        <v>11</v>
      </c>
      <c r="D39" s="307" t="s">
        <v>308</v>
      </c>
      <c r="E39" s="308">
        <v>36351781</v>
      </c>
      <c r="F39" s="308" t="s">
        <v>40</v>
      </c>
      <c r="G39" s="308" t="s">
        <v>25</v>
      </c>
      <c r="H39" s="309">
        <v>1.09823022742364</v>
      </c>
      <c r="I39" s="309">
        <v>1.04E-2</v>
      </c>
      <c r="J39" s="310">
        <v>2.2980000000000002E-19</v>
      </c>
      <c r="K39" s="311">
        <v>1</v>
      </c>
      <c r="L39" s="324" t="s">
        <v>2134</v>
      </c>
      <c r="M39" s="325" t="s">
        <v>2135</v>
      </c>
    </row>
    <row r="40" spans="2:13" ht="17" x14ac:dyDescent="0.2">
      <c r="B40" s="307">
        <v>65</v>
      </c>
      <c r="C40" s="308">
        <v>11</v>
      </c>
      <c r="D40" s="307" t="s">
        <v>310</v>
      </c>
      <c r="E40" s="308">
        <v>36430658</v>
      </c>
      <c r="F40" s="308" t="s">
        <v>40</v>
      </c>
      <c r="G40" s="308" t="s">
        <v>25</v>
      </c>
      <c r="H40" s="309">
        <v>1.2545789270616201</v>
      </c>
      <c r="I40" s="309">
        <v>2.4799999999999999E-2</v>
      </c>
      <c r="J40" s="310">
        <v>5.6300000000000003E-20</v>
      </c>
      <c r="K40" s="311">
        <v>1</v>
      </c>
      <c r="L40" s="324" t="s">
        <v>2134</v>
      </c>
      <c r="M40" s="325" t="s">
        <v>2136</v>
      </c>
    </row>
    <row r="41" spans="2:13" ht="17" x14ac:dyDescent="0.2">
      <c r="B41" s="307">
        <v>67</v>
      </c>
      <c r="C41" s="308">
        <v>11</v>
      </c>
      <c r="D41" s="307" t="s">
        <v>321</v>
      </c>
      <c r="E41" s="308">
        <v>76281593</v>
      </c>
      <c r="F41" s="308" t="s">
        <v>19</v>
      </c>
      <c r="G41" s="308" t="s">
        <v>20</v>
      </c>
      <c r="H41" s="309">
        <v>1.0526386375104499</v>
      </c>
      <c r="I41" s="309">
        <v>9.1999999999999998E-3</v>
      </c>
      <c r="J41" s="310">
        <v>2.562E-8</v>
      </c>
      <c r="K41" s="311">
        <v>1</v>
      </c>
      <c r="L41" s="324" t="s">
        <v>2141</v>
      </c>
      <c r="M41" s="325" t="s">
        <v>2142</v>
      </c>
    </row>
    <row r="42" spans="2:13" ht="17" x14ac:dyDescent="0.2">
      <c r="B42" s="307">
        <v>69</v>
      </c>
      <c r="C42" s="308">
        <v>11</v>
      </c>
      <c r="D42" s="307" t="s">
        <v>330</v>
      </c>
      <c r="E42" s="308">
        <v>120175749</v>
      </c>
      <c r="F42" s="308" t="s">
        <v>40</v>
      </c>
      <c r="G42" s="308" t="s">
        <v>25</v>
      </c>
      <c r="H42" s="309">
        <v>1.07004424704785</v>
      </c>
      <c r="I42" s="309">
        <v>9.1999999999999998E-3</v>
      </c>
      <c r="J42" s="310">
        <v>2.306E-13</v>
      </c>
      <c r="K42" s="311">
        <v>1</v>
      </c>
      <c r="L42" s="324" t="s">
        <v>2146</v>
      </c>
      <c r="M42" s="325" t="s">
        <v>2147</v>
      </c>
    </row>
    <row r="43" spans="2:13" ht="17" x14ac:dyDescent="0.2">
      <c r="B43" s="307">
        <v>71</v>
      </c>
      <c r="C43" s="308">
        <v>12</v>
      </c>
      <c r="D43" s="307" t="s">
        <v>342</v>
      </c>
      <c r="E43" s="308">
        <v>901531</v>
      </c>
      <c r="F43" s="308" t="s">
        <v>19</v>
      </c>
      <c r="G43" s="308" t="s">
        <v>20</v>
      </c>
      <c r="H43" s="309">
        <v>1.0545350933561899</v>
      </c>
      <c r="I43" s="309">
        <v>9.2999999999999992E-3</v>
      </c>
      <c r="J43" s="310">
        <v>1.0169999999999999E-8</v>
      </c>
      <c r="K43" s="311">
        <v>1</v>
      </c>
      <c r="L43" s="324" t="s">
        <v>2151</v>
      </c>
      <c r="M43" s="325" t="s">
        <v>2152</v>
      </c>
    </row>
    <row r="44" spans="2:13" ht="34" x14ac:dyDescent="0.2">
      <c r="B44" s="307">
        <v>72</v>
      </c>
      <c r="C44" s="308">
        <v>12</v>
      </c>
      <c r="D44" s="307" t="s">
        <v>346</v>
      </c>
      <c r="E44" s="308">
        <v>6468303</v>
      </c>
      <c r="F44" s="308" t="s">
        <v>19</v>
      </c>
      <c r="G44" s="308" t="s">
        <v>20</v>
      </c>
      <c r="H44" s="309">
        <v>1.06822671716599</v>
      </c>
      <c r="I44" s="309">
        <v>9.7000000000000003E-3</v>
      </c>
      <c r="J44" s="310">
        <v>1.012E-11</v>
      </c>
      <c r="K44" s="311">
        <v>1</v>
      </c>
      <c r="L44" s="324" t="s">
        <v>2153</v>
      </c>
      <c r="M44" s="325" t="s">
        <v>2154</v>
      </c>
    </row>
    <row r="45" spans="2:13" ht="17" x14ac:dyDescent="0.2">
      <c r="B45" s="307">
        <v>75</v>
      </c>
      <c r="C45" s="308">
        <v>12</v>
      </c>
      <c r="D45" s="307" t="s">
        <v>364</v>
      </c>
      <c r="E45" s="308">
        <v>94544520</v>
      </c>
      <c r="F45" s="308" t="s">
        <v>40</v>
      </c>
      <c r="G45" s="308" t="s">
        <v>25</v>
      </c>
      <c r="H45" s="309">
        <v>0.84383356643412399</v>
      </c>
      <c r="I45" s="309">
        <v>2.87E-2</v>
      </c>
      <c r="J45" s="310">
        <v>3.414E-9</v>
      </c>
      <c r="K45" s="311">
        <v>1</v>
      </c>
      <c r="L45" s="324" t="s">
        <v>2163</v>
      </c>
      <c r="M45" s="325" t="s">
        <v>2164</v>
      </c>
    </row>
    <row r="46" spans="2:13" ht="34" x14ac:dyDescent="0.2">
      <c r="B46" s="307">
        <v>83</v>
      </c>
      <c r="C46" s="308">
        <v>14</v>
      </c>
      <c r="D46" s="307" t="s">
        <v>397</v>
      </c>
      <c r="E46" s="308">
        <v>105532812</v>
      </c>
      <c r="F46" s="308" t="s">
        <v>40</v>
      </c>
      <c r="G46" s="308" t="s">
        <v>25</v>
      </c>
      <c r="H46" s="309">
        <v>1.06865409332239</v>
      </c>
      <c r="I46" s="309">
        <v>1.0200000000000001E-2</v>
      </c>
      <c r="J46" s="310">
        <v>7.7729999999999999E-11</v>
      </c>
      <c r="K46" s="311">
        <v>1</v>
      </c>
      <c r="L46" s="324" t="s">
        <v>2184</v>
      </c>
      <c r="M46" s="325" t="s">
        <v>2185</v>
      </c>
    </row>
    <row r="47" spans="2:13" ht="17" x14ac:dyDescent="0.2">
      <c r="B47" s="307">
        <v>85</v>
      </c>
      <c r="C47" s="308">
        <v>15</v>
      </c>
      <c r="D47" s="307" t="s">
        <v>404</v>
      </c>
      <c r="E47" s="308">
        <v>70032794</v>
      </c>
      <c r="F47" s="308" t="s">
        <v>40</v>
      </c>
      <c r="G47" s="308" t="s">
        <v>25</v>
      </c>
      <c r="H47" s="309">
        <v>0.91438826512430504</v>
      </c>
      <c r="I47" s="309">
        <v>1.5699999999999999E-2</v>
      </c>
      <c r="J47" s="310">
        <v>1.088E-8</v>
      </c>
      <c r="K47" s="311">
        <v>1</v>
      </c>
      <c r="L47" s="324" t="s">
        <v>2189</v>
      </c>
      <c r="M47" s="325" t="s">
        <v>38</v>
      </c>
    </row>
    <row r="48" spans="2:13" ht="17" x14ac:dyDescent="0.2">
      <c r="B48" s="307">
        <v>86</v>
      </c>
      <c r="C48" s="308">
        <v>15</v>
      </c>
      <c r="D48" s="307" t="s">
        <v>408</v>
      </c>
      <c r="E48" s="308">
        <v>85673696</v>
      </c>
      <c r="F48" s="308" t="s">
        <v>40</v>
      </c>
      <c r="G48" s="308" t="s">
        <v>25</v>
      </c>
      <c r="H48" s="309">
        <v>1.0533757425133601</v>
      </c>
      <c r="I48" s="309">
        <v>9.4000000000000004E-3</v>
      </c>
      <c r="J48" s="310">
        <v>3.6090000000000001E-8</v>
      </c>
      <c r="K48" s="311">
        <v>1</v>
      </c>
      <c r="L48" s="324" t="s">
        <v>2190</v>
      </c>
      <c r="M48" s="325" t="s">
        <v>2191</v>
      </c>
    </row>
    <row r="49" spans="2:13" ht="68" x14ac:dyDescent="0.2">
      <c r="B49" s="307">
        <v>89</v>
      </c>
      <c r="C49" s="308">
        <v>17</v>
      </c>
      <c r="D49" s="307" t="s">
        <v>423</v>
      </c>
      <c r="E49" s="308">
        <v>4559281</v>
      </c>
      <c r="F49" s="308" t="s">
        <v>424</v>
      </c>
      <c r="G49" s="308" t="s">
        <v>20</v>
      </c>
      <c r="H49" s="309">
        <v>0.93015875788542801</v>
      </c>
      <c r="I49" s="309">
        <v>1.29E-2</v>
      </c>
      <c r="J49" s="310">
        <v>2.145E-8</v>
      </c>
      <c r="K49" s="311">
        <v>1</v>
      </c>
      <c r="L49" s="324" t="s">
        <v>2201</v>
      </c>
      <c r="M49" s="325" t="s">
        <v>2202</v>
      </c>
    </row>
    <row r="50" spans="2:13" ht="68" x14ac:dyDescent="0.2">
      <c r="B50" s="307">
        <v>96</v>
      </c>
      <c r="C50" s="308">
        <v>19</v>
      </c>
      <c r="D50" s="307" t="s">
        <v>467</v>
      </c>
      <c r="E50" s="308">
        <v>936353</v>
      </c>
      <c r="F50" s="308" t="s">
        <v>20</v>
      </c>
      <c r="G50" s="308" t="s">
        <v>25</v>
      </c>
      <c r="H50" s="309">
        <v>0.92774348632855297</v>
      </c>
      <c r="I50" s="309">
        <v>1.3599999999999999E-2</v>
      </c>
      <c r="J50" s="310">
        <v>3.3600000000000003E-8</v>
      </c>
      <c r="K50" s="311">
        <v>1</v>
      </c>
      <c r="L50" s="324" t="s">
        <v>2223</v>
      </c>
      <c r="M50" s="325" t="s">
        <v>2224</v>
      </c>
    </row>
    <row r="51" spans="2:13" ht="51" x14ac:dyDescent="0.2">
      <c r="B51" s="307">
        <v>97</v>
      </c>
      <c r="C51" s="308">
        <v>19</v>
      </c>
      <c r="D51" s="307" t="s">
        <v>471</v>
      </c>
      <c r="E51" s="308">
        <v>4328755</v>
      </c>
      <c r="F51" s="308" t="s">
        <v>20</v>
      </c>
      <c r="G51" s="308" t="s">
        <v>25</v>
      </c>
      <c r="H51" s="309">
        <v>0.79017566300880904</v>
      </c>
      <c r="I51" s="309">
        <v>3.8899999999999997E-2</v>
      </c>
      <c r="J51" s="310">
        <v>1.4249999999999999E-9</v>
      </c>
      <c r="K51" s="311">
        <v>1</v>
      </c>
      <c r="L51" s="324" t="s">
        <v>2227</v>
      </c>
      <c r="M51" s="325" t="s">
        <v>2228</v>
      </c>
    </row>
    <row r="52" spans="2:13" ht="51" x14ac:dyDescent="0.2">
      <c r="B52" s="307">
        <v>99</v>
      </c>
      <c r="C52" s="308">
        <v>19</v>
      </c>
      <c r="D52" s="307" t="s">
        <v>482</v>
      </c>
      <c r="E52" s="308">
        <v>18612758</v>
      </c>
      <c r="F52" s="308" t="s">
        <v>40</v>
      </c>
      <c r="G52" s="308" t="s">
        <v>25</v>
      </c>
      <c r="H52" s="309">
        <v>1.0751928060901501</v>
      </c>
      <c r="I52" s="309">
        <v>9.4999999999999998E-3</v>
      </c>
      <c r="J52" s="310">
        <v>1.8880000000000001E-14</v>
      </c>
      <c r="K52" s="311">
        <v>1</v>
      </c>
      <c r="L52" s="324" t="s">
        <v>2236</v>
      </c>
      <c r="M52" s="325" t="s">
        <v>2237</v>
      </c>
    </row>
    <row r="53" spans="2:13" ht="17" x14ac:dyDescent="0.2">
      <c r="B53" s="307">
        <v>100</v>
      </c>
      <c r="C53" s="308">
        <v>19</v>
      </c>
      <c r="D53" s="307" t="s">
        <v>485</v>
      </c>
      <c r="E53" s="308">
        <v>33874354</v>
      </c>
      <c r="F53" s="308" t="s">
        <v>19</v>
      </c>
      <c r="G53" s="308" t="s">
        <v>20</v>
      </c>
      <c r="H53" s="309">
        <v>0.93538225908219497</v>
      </c>
      <c r="I53" s="309">
        <v>1.06E-2</v>
      </c>
      <c r="J53" s="310">
        <v>3.3199999999999999E-10</v>
      </c>
      <c r="K53" s="311">
        <v>1</v>
      </c>
      <c r="L53" s="324" t="s">
        <v>2239</v>
      </c>
      <c r="M53" s="325" t="s">
        <v>2240</v>
      </c>
    </row>
    <row r="54" spans="2:13" ht="17" x14ac:dyDescent="0.2">
      <c r="B54" s="307">
        <v>102</v>
      </c>
      <c r="C54" s="308">
        <v>20</v>
      </c>
      <c r="D54" s="307" t="s">
        <v>492</v>
      </c>
      <c r="E54" s="308">
        <v>47376086</v>
      </c>
      <c r="F54" s="308" t="s">
        <v>493</v>
      </c>
      <c r="G54" s="308" t="s">
        <v>20</v>
      </c>
      <c r="H54" s="309">
        <v>0.861741445954469</v>
      </c>
      <c r="I54" s="309">
        <v>2.7199999999999998E-2</v>
      </c>
      <c r="J54" s="310">
        <v>4.5979999999999999E-8</v>
      </c>
      <c r="K54" s="311">
        <v>1</v>
      </c>
      <c r="L54" s="324" t="s">
        <v>2244</v>
      </c>
      <c r="M54" s="325" t="s">
        <v>2245</v>
      </c>
    </row>
    <row r="55" spans="2:13" ht="17" x14ac:dyDescent="0.2">
      <c r="B55" s="307">
        <v>104</v>
      </c>
      <c r="C55" s="308">
        <v>20</v>
      </c>
      <c r="D55" s="307" t="s">
        <v>505</v>
      </c>
      <c r="E55" s="308">
        <v>50142524</v>
      </c>
      <c r="F55" s="308" t="s">
        <v>20</v>
      </c>
      <c r="G55" s="308" t="s">
        <v>25</v>
      </c>
      <c r="H55" s="309">
        <v>0.93828644324503496</v>
      </c>
      <c r="I55" s="309">
        <v>9.1999999999999998E-3</v>
      </c>
      <c r="J55" s="310">
        <v>3.729E-12</v>
      </c>
      <c r="K55" s="311">
        <v>1</v>
      </c>
      <c r="L55" s="324" t="s">
        <v>2249</v>
      </c>
      <c r="M55" s="325" t="s">
        <v>2250</v>
      </c>
    </row>
    <row r="56" spans="2:13" ht="17" x14ac:dyDescent="0.2">
      <c r="B56" s="307">
        <v>105</v>
      </c>
      <c r="C56" s="308">
        <v>21</v>
      </c>
      <c r="D56" s="307" t="s">
        <v>508</v>
      </c>
      <c r="E56" s="308">
        <v>40282556</v>
      </c>
      <c r="F56" s="308" t="s">
        <v>40</v>
      </c>
      <c r="G56" s="308" t="s">
        <v>25</v>
      </c>
      <c r="H56" s="309">
        <v>1.0565406146754901</v>
      </c>
      <c r="I56" s="309">
        <v>9.4000000000000004E-3</v>
      </c>
      <c r="J56" s="310">
        <v>5.2540000000000003E-9</v>
      </c>
      <c r="K56" s="311">
        <v>1</v>
      </c>
      <c r="L56" s="324" t="s">
        <v>2251</v>
      </c>
      <c r="M56" s="325" t="s">
        <v>2252</v>
      </c>
    </row>
    <row r="57" spans="2:13" ht="17" x14ac:dyDescent="0.2">
      <c r="B57" s="307">
        <v>106</v>
      </c>
      <c r="C57" s="308">
        <v>22</v>
      </c>
      <c r="D57" s="307" t="s">
        <v>510</v>
      </c>
      <c r="E57" s="308">
        <v>17565932</v>
      </c>
      <c r="F57" s="308" t="s">
        <v>19</v>
      </c>
      <c r="G57" s="308" t="s">
        <v>20</v>
      </c>
      <c r="H57" s="309">
        <v>1.0751928060901501</v>
      </c>
      <c r="I57" s="309">
        <v>1.23E-2</v>
      </c>
      <c r="J57" s="310">
        <v>3.8689999999999998E-9</v>
      </c>
      <c r="K57" s="311">
        <v>1</v>
      </c>
      <c r="L57" s="324" t="s">
        <v>2253</v>
      </c>
      <c r="M57" s="325" t="s">
        <v>2254</v>
      </c>
    </row>
    <row r="58" spans="2:13" ht="17" x14ac:dyDescent="0.2">
      <c r="B58" s="307">
        <v>107</v>
      </c>
      <c r="C58" s="308">
        <v>22</v>
      </c>
      <c r="D58" s="307" t="s">
        <v>513</v>
      </c>
      <c r="E58" s="308">
        <v>20867265</v>
      </c>
      <c r="F58" s="308" t="s">
        <v>40</v>
      </c>
      <c r="G58" s="308" t="s">
        <v>25</v>
      </c>
      <c r="H58" s="309">
        <v>1.0623675975703299</v>
      </c>
      <c r="I58" s="309">
        <v>1.0800000000000001E-2</v>
      </c>
      <c r="J58" s="310">
        <v>2.3639999999999999E-8</v>
      </c>
      <c r="K58" s="311">
        <v>1</v>
      </c>
      <c r="L58" s="324" t="s">
        <v>2255</v>
      </c>
      <c r="M58" s="325" t="s">
        <v>2256</v>
      </c>
    </row>
    <row r="59" spans="2:13" ht="34" x14ac:dyDescent="0.2">
      <c r="B59" s="312">
        <v>109</v>
      </c>
      <c r="C59" s="313">
        <v>22</v>
      </c>
      <c r="D59" s="312" t="s">
        <v>521</v>
      </c>
      <c r="E59" s="313">
        <v>37259605</v>
      </c>
      <c r="F59" s="313" t="s">
        <v>19</v>
      </c>
      <c r="G59" s="313" t="s">
        <v>20</v>
      </c>
      <c r="H59" s="314">
        <v>0.90900925803457999</v>
      </c>
      <c r="I59" s="314">
        <v>1.2E-2</v>
      </c>
      <c r="J59" s="315">
        <v>1.5100000000000001E-15</v>
      </c>
      <c r="K59" s="316">
        <v>1</v>
      </c>
      <c r="L59" s="328" t="s">
        <v>2260</v>
      </c>
      <c r="M59" s="329" t="s">
        <v>2261</v>
      </c>
    </row>
    <row r="61" spans="2:13" x14ac:dyDescent="0.2">
      <c r="J61" s="22"/>
    </row>
    <row r="63" spans="2:13" x14ac:dyDescent="0.2">
      <c r="K63" s="25"/>
    </row>
  </sheetData>
  <mergeCells count="5">
    <mergeCell ref="K8:K9"/>
    <mergeCell ref="L8:L9"/>
    <mergeCell ref="M8:M9"/>
    <mergeCell ref="B8:B9"/>
    <mergeCell ref="C8:C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05597-28C8-7C4E-BC9D-B761BB1CEFC2}">
  <dimension ref="B2:K12"/>
  <sheetViews>
    <sheetView workbookViewId="0"/>
  </sheetViews>
  <sheetFormatPr baseColWidth="10" defaultRowHeight="16" x14ac:dyDescent="0.2"/>
  <cols>
    <col min="1" max="1" width="4" customWidth="1"/>
    <col min="3" max="3" width="16.1640625" customWidth="1"/>
    <col min="4" max="4" width="6.5" customWidth="1"/>
    <col min="6" max="6" width="31.5" customWidth="1"/>
    <col min="7" max="7" width="15.83203125" customWidth="1"/>
    <col min="8" max="8" width="8.6640625" customWidth="1"/>
    <col min="9" max="10" width="28.83203125" customWidth="1"/>
    <col min="11" max="11" width="20.6640625" customWidth="1"/>
  </cols>
  <sheetData>
    <row r="2" spans="2:11" x14ac:dyDescent="0.2">
      <c r="B2" s="25" t="s">
        <v>2908</v>
      </c>
    </row>
    <row r="3" spans="2:11" x14ac:dyDescent="0.2">
      <c r="B3" t="s">
        <v>2655</v>
      </c>
    </row>
    <row r="4" spans="2:11" ht="19" x14ac:dyDescent="0.2">
      <c r="B4" t="s">
        <v>2795</v>
      </c>
    </row>
    <row r="6" spans="2:11" ht="37" x14ac:dyDescent="0.2">
      <c r="B6" s="518" t="s">
        <v>0</v>
      </c>
      <c r="C6" s="519" t="s">
        <v>2648</v>
      </c>
      <c r="D6" s="519" t="s">
        <v>1</v>
      </c>
      <c r="E6" s="519" t="s">
        <v>9</v>
      </c>
      <c r="F6" s="519" t="s">
        <v>2537</v>
      </c>
      <c r="G6" s="519" t="s">
        <v>2649</v>
      </c>
      <c r="H6" s="519" t="s">
        <v>2650</v>
      </c>
      <c r="I6" s="519" t="s">
        <v>2651</v>
      </c>
      <c r="J6" s="519" t="s">
        <v>2654</v>
      </c>
      <c r="K6" s="520" t="s">
        <v>2801</v>
      </c>
    </row>
    <row r="7" spans="2:11" x14ac:dyDescent="0.2">
      <c r="B7" s="553">
        <v>2</v>
      </c>
      <c r="C7" s="26" t="s">
        <v>2625</v>
      </c>
      <c r="D7" s="26">
        <v>1</v>
      </c>
      <c r="E7" s="26">
        <v>11850927</v>
      </c>
      <c r="F7" s="26" t="s">
        <v>2626</v>
      </c>
      <c r="G7" s="26" t="s">
        <v>2501</v>
      </c>
      <c r="H7" s="26" t="s">
        <v>2627</v>
      </c>
      <c r="I7" s="26" t="s">
        <v>2628</v>
      </c>
      <c r="J7" s="26" t="s">
        <v>2629</v>
      </c>
      <c r="K7" s="397">
        <v>0.8407</v>
      </c>
    </row>
    <row r="8" spans="2:11" x14ac:dyDescent="0.2">
      <c r="B8" s="554"/>
      <c r="C8" s="31" t="s">
        <v>2630</v>
      </c>
      <c r="D8" s="31">
        <v>1</v>
      </c>
      <c r="E8" s="31">
        <v>11907648</v>
      </c>
      <c r="F8" s="31" t="s">
        <v>2626</v>
      </c>
      <c r="G8" s="31" t="s">
        <v>2501</v>
      </c>
      <c r="H8" s="31" t="s">
        <v>2627</v>
      </c>
      <c r="I8" s="31" t="s">
        <v>2631</v>
      </c>
      <c r="J8" s="31" t="s">
        <v>2632</v>
      </c>
      <c r="K8" s="32">
        <v>0.67190000000000005</v>
      </c>
    </row>
    <row r="9" spans="2:11" ht="34" x14ac:dyDescent="0.2">
      <c r="B9" s="550"/>
      <c r="C9" s="40" t="s">
        <v>2633</v>
      </c>
      <c r="D9" s="40">
        <v>1</v>
      </c>
      <c r="E9" s="40">
        <v>12053100</v>
      </c>
      <c r="F9" s="40" t="s">
        <v>2634</v>
      </c>
      <c r="G9" s="40" t="s">
        <v>2635</v>
      </c>
      <c r="H9" s="40" t="s">
        <v>2636</v>
      </c>
      <c r="I9" s="137" t="s">
        <v>2652</v>
      </c>
      <c r="J9" s="40" t="s">
        <v>2637</v>
      </c>
      <c r="K9" s="522">
        <v>5.0250000000000001E-11</v>
      </c>
    </row>
    <row r="10" spans="2:11" ht="34" x14ac:dyDescent="0.2">
      <c r="B10" s="521">
        <v>11</v>
      </c>
      <c r="C10" s="154" t="s">
        <v>77</v>
      </c>
      <c r="D10" s="154">
        <v>1</v>
      </c>
      <c r="E10" s="154">
        <v>168507463</v>
      </c>
      <c r="F10" s="154" t="s">
        <v>2634</v>
      </c>
      <c r="G10" s="154" t="s">
        <v>2635</v>
      </c>
      <c r="H10" s="154" t="s">
        <v>2638</v>
      </c>
      <c r="I10" s="262" t="s">
        <v>2653</v>
      </c>
      <c r="J10" s="154" t="s">
        <v>2639</v>
      </c>
      <c r="K10" s="523">
        <v>2.7479999999999998E-11</v>
      </c>
    </row>
    <row r="11" spans="2:11" x14ac:dyDescent="0.2">
      <c r="B11" s="521">
        <v>17</v>
      </c>
      <c r="C11" s="154" t="s">
        <v>2640</v>
      </c>
      <c r="D11" s="154">
        <v>2</v>
      </c>
      <c r="E11" s="154">
        <v>102957716</v>
      </c>
      <c r="F11" s="154" t="s">
        <v>2626</v>
      </c>
      <c r="G11" s="154" t="s">
        <v>2501</v>
      </c>
      <c r="H11" s="154" t="s">
        <v>2627</v>
      </c>
      <c r="I11" s="154" t="s">
        <v>2641</v>
      </c>
      <c r="J11" s="154" t="s">
        <v>2642</v>
      </c>
      <c r="K11" s="155">
        <v>0.1449</v>
      </c>
    </row>
    <row r="12" spans="2:11" x14ac:dyDescent="0.2">
      <c r="B12" s="521">
        <v>31</v>
      </c>
      <c r="C12" s="154" t="s">
        <v>2643</v>
      </c>
      <c r="D12" s="154">
        <v>4</v>
      </c>
      <c r="E12" s="154">
        <v>122754459</v>
      </c>
      <c r="F12" s="154" t="s">
        <v>2644</v>
      </c>
      <c r="G12" s="154" t="s">
        <v>2501</v>
      </c>
      <c r="H12" s="154" t="s">
        <v>2645</v>
      </c>
      <c r="I12" s="154" t="s">
        <v>2646</v>
      </c>
      <c r="J12" s="154" t="s">
        <v>2647</v>
      </c>
      <c r="K12" s="155" t="s">
        <v>2647</v>
      </c>
    </row>
  </sheetData>
  <mergeCells count="1">
    <mergeCell ref="B7:B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7DACB-69AB-1647-A4E8-3B4967DAF4DB}">
  <dimension ref="B2:J16"/>
  <sheetViews>
    <sheetView workbookViewId="0"/>
  </sheetViews>
  <sheetFormatPr baseColWidth="10" defaultColWidth="11" defaultRowHeight="16" x14ac:dyDescent="0.2"/>
  <cols>
    <col min="1" max="1" width="4" customWidth="1"/>
    <col min="2" max="4" width="18" customWidth="1"/>
    <col min="5" max="9" width="19.83203125" customWidth="1"/>
  </cols>
  <sheetData>
    <row r="2" spans="2:10" x14ac:dyDescent="0.2">
      <c r="B2" s="25" t="s">
        <v>2909</v>
      </c>
      <c r="C2" s="25"/>
      <c r="D2" s="25"/>
    </row>
    <row r="3" spans="2:10" x14ac:dyDescent="0.2">
      <c r="B3" t="s">
        <v>1768</v>
      </c>
    </row>
    <row r="5" spans="2:10" ht="59" customHeight="1" x14ac:dyDescent="0.2">
      <c r="B5" s="555" t="s">
        <v>1767</v>
      </c>
      <c r="C5" s="557" t="s">
        <v>2315</v>
      </c>
      <c r="D5" s="559"/>
      <c r="E5" s="557" t="s">
        <v>2316</v>
      </c>
      <c r="F5" s="558"/>
      <c r="G5" s="558"/>
      <c r="H5" s="558"/>
      <c r="I5" s="559"/>
    </row>
    <row r="6" spans="2:10" ht="51" x14ac:dyDescent="0.2">
      <c r="B6" s="556"/>
      <c r="C6" s="292" t="s">
        <v>2313</v>
      </c>
      <c r="D6" s="78" t="s">
        <v>2314</v>
      </c>
      <c r="E6" s="292" t="s">
        <v>1763</v>
      </c>
      <c r="F6" s="76" t="s">
        <v>1766</v>
      </c>
      <c r="G6" s="76" t="s">
        <v>1764</v>
      </c>
      <c r="H6" s="76" t="s">
        <v>1765</v>
      </c>
      <c r="I6" s="78" t="s">
        <v>908</v>
      </c>
    </row>
    <row r="7" spans="2:10" x14ac:dyDescent="0.2">
      <c r="B7" s="86">
        <v>0.01</v>
      </c>
      <c r="C7" s="86" t="s">
        <v>2329</v>
      </c>
      <c r="D7" s="89" t="s">
        <v>2334</v>
      </c>
      <c r="E7" s="293">
        <v>9.64758641776014E-2</v>
      </c>
      <c r="F7" s="294">
        <v>3.9751898708237199E-2</v>
      </c>
      <c r="G7" s="294">
        <v>6.13675695993985E-2</v>
      </c>
      <c r="H7" s="294">
        <v>8.6424650714214193E-2</v>
      </c>
      <c r="I7" s="295">
        <v>1.20303419656731E-2</v>
      </c>
    </row>
    <row r="8" spans="2:10" x14ac:dyDescent="0.2">
      <c r="B8" s="75"/>
      <c r="C8" s="75"/>
      <c r="D8" s="79"/>
      <c r="E8" s="296"/>
      <c r="F8" s="297"/>
      <c r="G8" s="109" t="s">
        <v>2317</v>
      </c>
      <c r="H8" s="297"/>
      <c r="I8" s="298" t="s">
        <v>2318</v>
      </c>
    </row>
    <row r="9" spans="2:10" x14ac:dyDescent="0.2">
      <c r="B9" s="86">
        <v>1.4999999999999999E-2</v>
      </c>
      <c r="C9" s="86" t="s">
        <v>2330</v>
      </c>
      <c r="D9" s="89" t="s">
        <v>2335</v>
      </c>
      <c r="E9" s="293">
        <v>0.105497068311835</v>
      </c>
      <c r="F9" s="294">
        <v>4.38116180113634E-2</v>
      </c>
      <c r="G9" s="294">
        <v>6.7268848016068E-2</v>
      </c>
      <c r="H9" s="294">
        <v>9.4618150247560401E-2</v>
      </c>
      <c r="I9" s="295">
        <v>1.3254920372774599E-2</v>
      </c>
    </row>
    <row r="10" spans="2:10" x14ac:dyDescent="0.2">
      <c r="B10" s="75"/>
      <c r="C10" s="75"/>
      <c r="D10" s="79"/>
      <c r="E10" s="296"/>
      <c r="F10" s="297"/>
      <c r="G10" s="109" t="s">
        <v>2319</v>
      </c>
      <c r="H10" s="297"/>
      <c r="I10" s="298" t="s">
        <v>2318</v>
      </c>
      <c r="J10" s="269"/>
    </row>
    <row r="11" spans="2:10" x14ac:dyDescent="0.2">
      <c r="B11" s="86">
        <v>0.02</v>
      </c>
      <c r="C11" s="86" t="s">
        <v>2331</v>
      </c>
      <c r="D11" s="89" t="s">
        <v>2336</v>
      </c>
      <c r="E11" s="293">
        <v>0.112737852903699</v>
      </c>
      <c r="F11" s="294">
        <v>4.7097125795134497E-2</v>
      </c>
      <c r="G11" s="294">
        <v>7.2044363148277196E-2</v>
      </c>
      <c r="H11" s="294">
        <v>0.10120550083485599</v>
      </c>
      <c r="I11" s="295">
        <v>1.4255093639642301E-2</v>
      </c>
    </row>
    <row r="12" spans="2:10" x14ac:dyDescent="0.2">
      <c r="B12" s="75"/>
      <c r="C12" s="75"/>
      <c r="D12" s="79"/>
      <c r="E12" s="296"/>
      <c r="F12" s="297"/>
      <c r="G12" s="109" t="s">
        <v>2320</v>
      </c>
      <c r="H12" s="297"/>
      <c r="I12" s="298" t="s">
        <v>2321</v>
      </c>
    </row>
    <row r="13" spans="2:10" x14ac:dyDescent="0.2">
      <c r="B13" s="86">
        <v>2.5000000000000001E-2</v>
      </c>
      <c r="C13" s="86" t="s">
        <v>2332</v>
      </c>
      <c r="D13" s="89" t="s">
        <v>2337</v>
      </c>
      <c r="E13" s="293">
        <v>0.118887042318306</v>
      </c>
      <c r="F13" s="294">
        <v>4.9903075067622697E-2</v>
      </c>
      <c r="G13" s="294">
        <v>7.6130599462438803E-2</v>
      </c>
      <c r="H13" s="294">
        <v>0.106806867587494</v>
      </c>
      <c r="I13" s="295">
        <v>1.51175238699356E-2</v>
      </c>
    </row>
    <row r="14" spans="2:10" x14ac:dyDescent="0.2">
      <c r="B14" s="75"/>
      <c r="C14" s="75"/>
      <c r="D14" s="79"/>
      <c r="E14" s="296"/>
      <c r="F14" s="297"/>
      <c r="G14" s="109" t="s">
        <v>2322</v>
      </c>
      <c r="H14" s="297"/>
      <c r="I14" s="298" t="s">
        <v>2321</v>
      </c>
    </row>
    <row r="15" spans="2:10" x14ac:dyDescent="0.2">
      <c r="B15" s="66">
        <v>0.03</v>
      </c>
      <c r="C15" s="86" t="s">
        <v>2333</v>
      </c>
      <c r="D15" s="89" t="s">
        <v>2338</v>
      </c>
      <c r="E15" s="299">
        <v>0.124281352288686</v>
      </c>
      <c r="F15" s="300">
        <v>5.2374465504934999E-2</v>
      </c>
      <c r="G15" s="300">
        <v>7.97405826101346E-2</v>
      </c>
      <c r="H15" s="300">
        <v>0.11172564678524401</v>
      </c>
      <c r="I15" s="301">
        <v>1.5884569215191199E-2</v>
      </c>
    </row>
    <row r="16" spans="2:10" x14ac:dyDescent="0.2">
      <c r="B16" s="75"/>
      <c r="C16" s="75"/>
      <c r="D16" s="79"/>
      <c r="E16" s="296"/>
      <c r="F16" s="297"/>
      <c r="G16" s="109" t="s">
        <v>2322</v>
      </c>
      <c r="H16" s="297"/>
      <c r="I16" s="298" t="s">
        <v>2321</v>
      </c>
    </row>
  </sheetData>
  <mergeCells count="3">
    <mergeCell ref="B5:B6"/>
    <mergeCell ref="E5:I5"/>
    <mergeCell ref="C5:D5"/>
  </mergeCells>
  <pageMargins left="0.7" right="0.7" top="0.75" bottom="0.75" header="0.3" footer="0.3"/>
  <ignoredErrors>
    <ignoredError sqref="G8 I8:I16 G10:G1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10C31-4995-0145-8463-D1E10053994E}">
  <dimension ref="B2:H17"/>
  <sheetViews>
    <sheetView workbookViewId="0"/>
  </sheetViews>
  <sheetFormatPr baseColWidth="10" defaultColWidth="11" defaultRowHeight="16" x14ac:dyDescent="0.2"/>
  <cols>
    <col min="1" max="1" width="4" customWidth="1"/>
    <col min="2" max="2" width="38.6640625" bestFit="1" customWidth="1"/>
    <col min="3" max="8" width="20.33203125" customWidth="1"/>
  </cols>
  <sheetData>
    <row r="2" spans="2:8" x14ac:dyDescent="0.2">
      <c r="B2" s="47" t="s">
        <v>2910</v>
      </c>
    </row>
    <row r="3" spans="2:8" ht="18" x14ac:dyDescent="0.25">
      <c r="B3" t="s">
        <v>573</v>
      </c>
    </row>
    <row r="4" spans="2:8" ht="19" x14ac:dyDescent="0.2">
      <c r="B4" t="s">
        <v>1770</v>
      </c>
    </row>
    <row r="6" spans="2:8" x14ac:dyDescent="0.2">
      <c r="B6" s="48"/>
      <c r="C6" s="560" t="s">
        <v>568</v>
      </c>
      <c r="D6" s="561"/>
      <c r="E6" s="560" t="s">
        <v>569</v>
      </c>
      <c r="F6" s="562"/>
      <c r="G6" s="561" t="s">
        <v>570</v>
      </c>
      <c r="H6" s="562"/>
    </row>
    <row r="7" spans="2:8" ht="19" customHeight="1" x14ac:dyDescent="0.2">
      <c r="B7" s="49"/>
      <c r="C7" s="19" t="s">
        <v>566</v>
      </c>
      <c r="D7" s="20" t="s">
        <v>567</v>
      </c>
      <c r="E7" s="14" t="s">
        <v>566</v>
      </c>
      <c r="F7" s="153" t="s">
        <v>1769</v>
      </c>
      <c r="G7" s="20" t="s">
        <v>566</v>
      </c>
      <c r="H7" s="153" t="s">
        <v>1769</v>
      </c>
    </row>
    <row r="8" spans="2:8" x14ac:dyDescent="0.2">
      <c r="B8" s="50" t="s">
        <v>562</v>
      </c>
      <c r="C8" s="16">
        <v>108</v>
      </c>
      <c r="D8" s="17">
        <v>109</v>
      </c>
      <c r="E8" s="14">
        <v>40</v>
      </c>
      <c r="F8" s="15">
        <v>40</v>
      </c>
      <c r="G8" s="16">
        <v>148</v>
      </c>
      <c r="H8" s="17">
        <v>149</v>
      </c>
    </row>
    <row r="9" spans="2:8" ht="18" x14ac:dyDescent="0.25">
      <c r="B9" s="50" t="s">
        <v>572</v>
      </c>
      <c r="C9" s="16">
        <v>103</v>
      </c>
      <c r="D9" s="17">
        <v>104</v>
      </c>
      <c r="E9" s="16">
        <v>40</v>
      </c>
      <c r="F9" s="17">
        <v>40</v>
      </c>
      <c r="G9" s="16">
        <v>143</v>
      </c>
      <c r="H9" s="17">
        <v>144</v>
      </c>
    </row>
    <row r="10" spans="2:8" x14ac:dyDescent="0.2">
      <c r="B10" s="50" t="s">
        <v>563</v>
      </c>
      <c r="C10" s="16">
        <v>11</v>
      </c>
      <c r="D10" s="17">
        <v>10.5</v>
      </c>
      <c r="E10" s="16">
        <v>11</v>
      </c>
      <c r="F10" s="17">
        <v>11</v>
      </c>
      <c r="G10" s="16">
        <v>11</v>
      </c>
      <c r="H10" s="17">
        <v>10.5</v>
      </c>
    </row>
    <row r="11" spans="2:8" x14ac:dyDescent="0.2">
      <c r="B11" s="48" t="s">
        <v>565</v>
      </c>
      <c r="C11" s="12">
        <v>34</v>
      </c>
      <c r="D11" s="13">
        <v>35</v>
      </c>
      <c r="E11" s="12">
        <v>15</v>
      </c>
      <c r="F11" s="13">
        <v>15</v>
      </c>
      <c r="G11" s="12">
        <v>49</v>
      </c>
      <c r="H11" s="13">
        <v>50</v>
      </c>
    </row>
    <row r="12" spans="2:8" x14ac:dyDescent="0.2">
      <c r="B12" s="51"/>
      <c r="C12" s="52">
        <v>0.3300970873786408</v>
      </c>
      <c r="D12" s="53">
        <v>0.33653846153846156</v>
      </c>
      <c r="E12" s="52">
        <v>0.375</v>
      </c>
      <c r="F12" s="53">
        <v>0.375</v>
      </c>
      <c r="G12" s="52">
        <v>0.34265734265734266</v>
      </c>
      <c r="H12" s="53">
        <v>0.34722222222222221</v>
      </c>
    </row>
    <row r="13" spans="2:8" x14ac:dyDescent="0.2">
      <c r="B13" s="48" t="s">
        <v>564</v>
      </c>
      <c r="C13" s="12">
        <v>17</v>
      </c>
      <c r="D13" s="13">
        <v>18</v>
      </c>
      <c r="E13" s="12">
        <v>5</v>
      </c>
      <c r="F13" s="13">
        <v>5</v>
      </c>
      <c r="G13" s="12">
        <v>22</v>
      </c>
      <c r="H13" s="13">
        <v>23</v>
      </c>
    </row>
    <row r="14" spans="2:8" x14ac:dyDescent="0.2">
      <c r="B14" s="51"/>
      <c r="C14" s="52">
        <v>0.1650485436893204</v>
      </c>
      <c r="D14" s="53">
        <v>0.17307692307692307</v>
      </c>
      <c r="E14" s="52">
        <v>0.125</v>
      </c>
      <c r="F14" s="53">
        <v>0.125</v>
      </c>
      <c r="G14" s="52">
        <v>0.15384615384615385</v>
      </c>
      <c r="H14" s="53">
        <v>0.15972222222222221</v>
      </c>
    </row>
    <row r="15" spans="2:8" ht="18" x14ac:dyDescent="0.25">
      <c r="B15" s="50" t="s">
        <v>574</v>
      </c>
      <c r="C15" s="54">
        <v>0.281402561</v>
      </c>
      <c r="D15" s="18">
        <v>0.28214609199999996</v>
      </c>
      <c r="E15" s="54">
        <v>0.39455497849999999</v>
      </c>
      <c r="F15" s="18">
        <v>0.39455497849999999</v>
      </c>
      <c r="G15" s="54">
        <v>0.30297976500000001</v>
      </c>
      <c r="H15" s="18">
        <v>0.30935917200000002</v>
      </c>
    </row>
    <row r="16" spans="2:8" ht="18" x14ac:dyDescent="0.25">
      <c r="B16" s="48" t="s">
        <v>575</v>
      </c>
      <c r="C16" s="12">
        <v>35</v>
      </c>
      <c r="D16" s="13">
        <v>36</v>
      </c>
      <c r="E16" s="12">
        <v>16</v>
      </c>
      <c r="F16" s="13">
        <v>16</v>
      </c>
      <c r="G16" s="12">
        <v>51</v>
      </c>
      <c r="H16" s="13">
        <v>52</v>
      </c>
    </row>
    <row r="17" spans="2:8" x14ac:dyDescent="0.2">
      <c r="B17" s="51"/>
      <c r="C17" s="52">
        <v>0.33980582524271846</v>
      </c>
      <c r="D17" s="53">
        <v>0.34615384615384615</v>
      </c>
      <c r="E17" s="52">
        <v>0.4</v>
      </c>
      <c r="F17" s="53">
        <v>0.4</v>
      </c>
      <c r="G17" s="52">
        <v>0.35664335664335667</v>
      </c>
      <c r="H17" s="53">
        <v>0.3611111111111111</v>
      </c>
    </row>
  </sheetData>
  <mergeCells count="3">
    <mergeCell ref="C6:D6"/>
    <mergeCell ref="E6:F6"/>
    <mergeCell ref="G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8229-CAA7-274A-8AF5-20ABECA281FB}">
  <dimension ref="B2:T83"/>
  <sheetViews>
    <sheetView workbookViewId="0">
      <pane ySplit="6" topLeftCell="A7" activePane="bottomLeft" state="frozen"/>
      <selection pane="bottomLeft"/>
    </sheetView>
  </sheetViews>
  <sheetFormatPr baseColWidth="10" defaultColWidth="11" defaultRowHeight="16" x14ac:dyDescent="0.2"/>
  <cols>
    <col min="1" max="1" width="4" customWidth="1"/>
    <col min="2" max="2" width="18.33203125" customWidth="1"/>
    <col min="3" max="7" width="14.33203125" customWidth="1"/>
    <col min="8" max="8" width="22.83203125" bestFit="1" customWidth="1"/>
    <col min="9" max="13" width="14.33203125" customWidth="1"/>
    <col min="14" max="14" width="22.83203125" bestFit="1" customWidth="1"/>
    <col min="15" max="20" width="14.33203125" customWidth="1"/>
  </cols>
  <sheetData>
    <row r="2" spans="2:20" x14ac:dyDescent="0.2">
      <c r="B2" s="25" t="s">
        <v>2911</v>
      </c>
    </row>
    <row r="3" spans="2:20" ht="18" x14ac:dyDescent="0.25">
      <c r="B3" t="s">
        <v>571</v>
      </c>
    </row>
    <row r="5" spans="2:20" x14ac:dyDescent="0.2">
      <c r="B5" s="70"/>
      <c r="C5" s="82" t="s">
        <v>738</v>
      </c>
      <c r="D5" s="83"/>
      <c r="E5" s="83"/>
      <c r="F5" s="83"/>
      <c r="G5" s="83"/>
      <c r="H5" s="84"/>
      <c r="I5" s="82" t="s">
        <v>730</v>
      </c>
      <c r="J5" s="83"/>
      <c r="K5" s="83"/>
      <c r="L5" s="83"/>
      <c r="M5" s="83"/>
      <c r="N5" s="84"/>
      <c r="O5" s="83" t="s">
        <v>731</v>
      </c>
      <c r="P5" s="83"/>
      <c r="Q5" s="83"/>
      <c r="R5" s="83"/>
      <c r="S5" s="83"/>
      <c r="T5" s="84"/>
    </row>
    <row r="6" spans="2:20" ht="53" x14ac:dyDescent="0.2">
      <c r="B6" s="73" t="s">
        <v>728</v>
      </c>
      <c r="C6" s="75" t="s">
        <v>577</v>
      </c>
      <c r="D6" s="76" t="s">
        <v>578</v>
      </c>
      <c r="E6" s="76" t="s">
        <v>579</v>
      </c>
      <c r="F6" s="76" t="s">
        <v>580</v>
      </c>
      <c r="G6" s="77" t="s">
        <v>729</v>
      </c>
      <c r="H6" s="78" t="s">
        <v>736</v>
      </c>
      <c r="I6" s="75" t="s">
        <v>577</v>
      </c>
      <c r="J6" s="77" t="s">
        <v>578</v>
      </c>
      <c r="K6" s="77" t="s">
        <v>579</v>
      </c>
      <c r="L6" s="77" t="s">
        <v>580</v>
      </c>
      <c r="M6" s="77" t="s">
        <v>581</v>
      </c>
      <c r="N6" s="79" t="s">
        <v>582</v>
      </c>
      <c r="O6" s="76" t="s">
        <v>732</v>
      </c>
      <c r="P6" s="76" t="s">
        <v>583</v>
      </c>
      <c r="Q6" s="76" t="s">
        <v>733</v>
      </c>
      <c r="R6" s="76" t="s">
        <v>584</v>
      </c>
      <c r="S6" s="76" t="s">
        <v>734</v>
      </c>
      <c r="T6" s="78" t="s">
        <v>735</v>
      </c>
    </row>
    <row r="7" spans="2:20" x14ac:dyDescent="0.2">
      <c r="B7" s="85" t="s">
        <v>585</v>
      </c>
      <c r="C7" s="86">
        <v>62</v>
      </c>
      <c r="D7" s="87">
        <v>8216712</v>
      </c>
      <c r="E7" s="87">
        <v>8290082</v>
      </c>
      <c r="F7" s="87">
        <v>73371</v>
      </c>
      <c r="G7" s="88">
        <v>0.15054585300000001</v>
      </c>
      <c r="H7" s="89" t="s">
        <v>586</v>
      </c>
      <c r="I7" s="86">
        <v>12</v>
      </c>
      <c r="J7" s="87">
        <v>8206827</v>
      </c>
      <c r="K7" s="87">
        <v>8272231</v>
      </c>
      <c r="L7" s="87">
        <v>65405</v>
      </c>
      <c r="M7" s="88">
        <v>0.18524135899999999</v>
      </c>
      <c r="N7" s="89" t="s">
        <v>587</v>
      </c>
      <c r="O7" s="87">
        <v>-50</v>
      </c>
      <c r="P7" s="90">
        <v>-2.3692338096657188</v>
      </c>
      <c r="Q7" s="87">
        <v>-7966</v>
      </c>
      <c r="R7" s="90">
        <v>-0.16580901901505107</v>
      </c>
      <c r="S7" s="88">
        <v>3.4695505999999987E-2</v>
      </c>
      <c r="T7" s="91">
        <v>0.29920327882464609</v>
      </c>
    </row>
    <row r="8" spans="2:20" x14ac:dyDescent="0.2">
      <c r="B8" s="74" t="s">
        <v>588</v>
      </c>
      <c r="C8" s="66">
        <v>19</v>
      </c>
      <c r="D8" s="67">
        <v>24508818</v>
      </c>
      <c r="E8" s="67">
        <v>24524561</v>
      </c>
      <c r="F8" s="67">
        <v>15744</v>
      </c>
      <c r="G8" s="68">
        <v>0.27549229800000002</v>
      </c>
      <c r="H8" s="69" t="s">
        <v>588</v>
      </c>
      <c r="I8" s="66">
        <v>1</v>
      </c>
      <c r="J8" s="67">
        <v>24518206</v>
      </c>
      <c r="K8" s="67">
        <v>24518206</v>
      </c>
      <c r="L8" s="67">
        <v>1</v>
      </c>
      <c r="M8" s="68">
        <v>0.99524055300000003</v>
      </c>
      <c r="N8" s="69" t="s">
        <v>589</v>
      </c>
      <c r="O8" s="67">
        <v>-18</v>
      </c>
      <c r="P8" s="80">
        <v>-4.2479275134435861</v>
      </c>
      <c r="Q8" s="67">
        <v>-15743</v>
      </c>
      <c r="R8" s="80">
        <v>-13.942514505339238</v>
      </c>
      <c r="S8" s="68">
        <v>0.71974825500000006</v>
      </c>
      <c r="T8" s="81">
        <v>1.853033286452979</v>
      </c>
    </row>
    <row r="9" spans="2:20" x14ac:dyDescent="0.2">
      <c r="B9" s="74" t="s">
        <v>590</v>
      </c>
      <c r="C9" s="66">
        <v>44</v>
      </c>
      <c r="D9" s="67">
        <v>25289734</v>
      </c>
      <c r="E9" s="67">
        <v>25305172</v>
      </c>
      <c r="F9" s="67">
        <v>15439</v>
      </c>
      <c r="G9" s="68">
        <v>0.24890427600000001</v>
      </c>
      <c r="H9" s="69" t="s">
        <v>590</v>
      </c>
      <c r="I9" s="66">
        <v>36</v>
      </c>
      <c r="J9" s="67">
        <v>25292668</v>
      </c>
      <c r="K9" s="67">
        <v>25304463</v>
      </c>
      <c r="L9" s="67">
        <v>11796</v>
      </c>
      <c r="M9" s="68">
        <v>5.0172632000000002E-2</v>
      </c>
      <c r="N9" s="69" t="s">
        <v>591</v>
      </c>
      <c r="O9" s="67">
        <v>-8</v>
      </c>
      <c r="P9" s="80">
        <v>-0.28950661719498483</v>
      </c>
      <c r="Q9" s="67">
        <v>-3643</v>
      </c>
      <c r="R9" s="80">
        <v>-0.38828158326972251</v>
      </c>
      <c r="S9" s="68">
        <v>-0.19873164400000001</v>
      </c>
      <c r="T9" s="81">
        <v>-2.3106184876519311</v>
      </c>
    </row>
    <row r="10" spans="2:20" x14ac:dyDescent="0.2">
      <c r="B10" s="74" t="s">
        <v>592</v>
      </c>
      <c r="C10" s="66">
        <v>11</v>
      </c>
      <c r="D10" s="67">
        <v>67705958</v>
      </c>
      <c r="E10" s="67">
        <v>67722919</v>
      </c>
      <c r="F10" s="67">
        <v>16962</v>
      </c>
      <c r="G10" s="68">
        <v>0.26059581599999998</v>
      </c>
      <c r="H10" s="69" t="s">
        <v>592</v>
      </c>
      <c r="I10" s="66">
        <v>8</v>
      </c>
      <c r="J10" s="67">
        <v>67707690</v>
      </c>
      <c r="K10" s="67">
        <v>67716951</v>
      </c>
      <c r="L10" s="67">
        <v>9262</v>
      </c>
      <c r="M10" s="68">
        <v>0.35141512699999999</v>
      </c>
      <c r="N10" s="69" t="s">
        <v>593</v>
      </c>
      <c r="O10" s="67">
        <v>-3</v>
      </c>
      <c r="P10" s="80">
        <v>-0.4594316186372972</v>
      </c>
      <c r="Q10" s="67">
        <v>-7700</v>
      </c>
      <c r="R10" s="80">
        <v>-0.87291062684863829</v>
      </c>
      <c r="S10" s="68">
        <v>9.0819311000000014E-2</v>
      </c>
      <c r="T10" s="81">
        <v>0.43136237398950883</v>
      </c>
    </row>
    <row r="11" spans="2:20" x14ac:dyDescent="0.2">
      <c r="B11" s="74" t="s">
        <v>594</v>
      </c>
      <c r="C11" s="66">
        <v>539</v>
      </c>
      <c r="D11" s="67">
        <v>69588775</v>
      </c>
      <c r="E11" s="67">
        <v>69988199</v>
      </c>
      <c r="F11" s="67">
        <v>399425</v>
      </c>
      <c r="G11" s="68">
        <v>3.6145047999999999E-2</v>
      </c>
      <c r="H11" s="69" t="s">
        <v>594</v>
      </c>
      <c r="I11" s="66">
        <v>758</v>
      </c>
      <c r="J11" s="67">
        <v>69588775</v>
      </c>
      <c r="K11" s="67">
        <v>69988363</v>
      </c>
      <c r="L11" s="67">
        <v>399589</v>
      </c>
      <c r="M11" s="68">
        <v>8.5013151999999995E-2</v>
      </c>
      <c r="N11" s="69" t="s">
        <v>595</v>
      </c>
      <c r="O11" s="67">
        <v>219</v>
      </c>
      <c r="P11" s="80">
        <v>0.49191257541858635</v>
      </c>
      <c r="Q11" s="67">
        <v>164</v>
      </c>
      <c r="R11" s="80">
        <v>5.9223490459075123E-4</v>
      </c>
      <c r="S11" s="68">
        <v>4.8868103999999996E-2</v>
      </c>
      <c r="T11" s="81">
        <v>1.2338880449689271</v>
      </c>
    </row>
    <row r="12" spans="2:20" x14ac:dyDescent="0.2">
      <c r="B12" s="74" t="s">
        <v>596</v>
      </c>
      <c r="C12" s="66">
        <v>1</v>
      </c>
      <c r="D12" s="67">
        <v>78450517</v>
      </c>
      <c r="E12" s="67">
        <v>78450517</v>
      </c>
      <c r="F12" s="67">
        <v>1</v>
      </c>
      <c r="G12" s="68">
        <v>0.99167205400000003</v>
      </c>
      <c r="H12" s="69" t="s">
        <v>597</v>
      </c>
      <c r="I12" s="66">
        <v>1</v>
      </c>
      <c r="J12" s="67">
        <v>78450517</v>
      </c>
      <c r="K12" s="67">
        <v>78450517</v>
      </c>
      <c r="L12" s="67">
        <v>1</v>
      </c>
      <c r="M12" s="68">
        <v>0.98283806100000004</v>
      </c>
      <c r="N12" s="69" t="s">
        <v>598</v>
      </c>
      <c r="O12" s="67">
        <v>0</v>
      </c>
      <c r="P12" s="80">
        <v>0</v>
      </c>
      <c r="Q12" s="67">
        <v>0</v>
      </c>
      <c r="R12" s="80">
        <v>0</v>
      </c>
      <c r="S12" s="68">
        <v>-8.8339929999999844E-3</v>
      </c>
      <c r="T12" s="81">
        <v>-1.2909372135512714E-2</v>
      </c>
    </row>
    <row r="13" spans="2:20" x14ac:dyDescent="0.2">
      <c r="B13" s="74" t="s">
        <v>599</v>
      </c>
      <c r="C13" s="66">
        <v>25</v>
      </c>
      <c r="D13" s="67">
        <v>152550018</v>
      </c>
      <c r="E13" s="67">
        <v>152598711</v>
      </c>
      <c r="F13" s="67">
        <v>48694</v>
      </c>
      <c r="G13" s="68">
        <v>5.0369002000000003E-2</v>
      </c>
      <c r="H13" s="69" t="s">
        <v>599</v>
      </c>
      <c r="I13" s="66">
        <v>23</v>
      </c>
      <c r="J13" s="67">
        <v>152550018</v>
      </c>
      <c r="K13" s="67">
        <v>152593549</v>
      </c>
      <c r="L13" s="67">
        <v>43532</v>
      </c>
      <c r="M13" s="68">
        <v>5.7352448E-2</v>
      </c>
      <c r="N13" s="69" t="s">
        <v>600</v>
      </c>
      <c r="O13" s="67">
        <v>-2</v>
      </c>
      <c r="P13" s="80">
        <v>-0.12029423371771177</v>
      </c>
      <c r="Q13" s="67">
        <v>-5162</v>
      </c>
      <c r="R13" s="80">
        <v>-0.1616677128927145</v>
      </c>
      <c r="S13" s="68">
        <v>6.9834459999999973E-3</v>
      </c>
      <c r="T13" s="81">
        <v>0.18731892070183656</v>
      </c>
    </row>
    <row r="14" spans="2:20" x14ac:dyDescent="0.2">
      <c r="B14" s="74" t="s">
        <v>601</v>
      </c>
      <c r="C14" s="66">
        <v>14</v>
      </c>
      <c r="D14" s="67">
        <v>172673583</v>
      </c>
      <c r="E14" s="67">
        <v>172682072</v>
      </c>
      <c r="F14" s="67">
        <v>8490</v>
      </c>
      <c r="G14" s="68">
        <v>9.5395787999999995E-2</v>
      </c>
      <c r="H14" s="69" t="s">
        <v>602</v>
      </c>
      <c r="I14" s="66">
        <v>1</v>
      </c>
      <c r="J14" s="67">
        <v>172715702</v>
      </c>
      <c r="K14" s="67">
        <v>172715702</v>
      </c>
      <c r="L14" s="67">
        <v>1</v>
      </c>
      <c r="M14" s="68">
        <v>0.95983062299999999</v>
      </c>
      <c r="N14" s="69" t="s">
        <v>603</v>
      </c>
      <c r="O14" s="67">
        <v>-13</v>
      </c>
      <c r="P14" s="80">
        <v>-3.8073549220576037</v>
      </c>
      <c r="Q14" s="67">
        <v>-8489</v>
      </c>
      <c r="R14" s="80">
        <v>-13.051548838440402</v>
      </c>
      <c r="S14" s="68">
        <v>0.86443483499999996</v>
      </c>
      <c r="T14" s="81">
        <v>3.3307823687882383</v>
      </c>
    </row>
    <row r="15" spans="2:20" x14ac:dyDescent="0.2">
      <c r="B15" s="74" t="s">
        <v>604</v>
      </c>
      <c r="C15" s="66">
        <v>31</v>
      </c>
      <c r="D15" s="67">
        <v>197595569</v>
      </c>
      <c r="E15" s="67">
        <v>197822994</v>
      </c>
      <c r="F15" s="67">
        <v>227426</v>
      </c>
      <c r="G15" s="68">
        <v>0.136795578</v>
      </c>
      <c r="H15" s="69" t="s">
        <v>604</v>
      </c>
      <c r="I15" s="66">
        <v>8</v>
      </c>
      <c r="J15" s="67">
        <v>197701279</v>
      </c>
      <c r="K15" s="67">
        <v>197781198</v>
      </c>
      <c r="L15" s="67">
        <v>79920</v>
      </c>
      <c r="M15" s="68">
        <v>0.167193589</v>
      </c>
      <c r="N15" s="69" t="s">
        <v>605</v>
      </c>
      <c r="O15" s="67">
        <v>-23</v>
      </c>
      <c r="P15" s="80">
        <v>-1.9541963103868751</v>
      </c>
      <c r="Q15" s="67">
        <v>-147506</v>
      </c>
      <c r="R15" s="80">
        <v>-1.5087687084975319</v>
      </c>
      <c r="S15" s="68">
        <v>3.0398011000000003E-2</v>
      </c>
      <c r="T15" s="81">
        <v>0.28949793368176568</v>
      </c>
    </row>
    <row r="16" spans="2:20" x14ac:dyDescent="0.2">
      <c r="B16" s="74" t="s">
        <v>606</v>
      </c>
      <c r="C16" s="66">
        <v>9</v>
      </c>
      <c r="D16" s="67">
        <v>206648995</v>
      </c>
      <c r="E16" s="67">
        <v>206657802</v>
      </c>
      <c r="F16" s="67">
        <v>8808</v>
      </c>
      <c r="G16" s="68">
        <v>0.23798373</v>
      </c>
      <c r="H16" s="69" t="s">
        <v>606</v>
      </c>
      <c r="I16" s="66">
        <v>7</v>
      </c>
      <c r="J16" s="67">
        <v>206648995</v>
      </c>
      <c r="K16" s="67">
        <v>206657802</v>
      </c>
      <c r="L16" s="67">
        <v>8808</v>
      </c>
      <c r="M16" s="68">
        <v>0.35854649</v>
      </c>
      <c r="N16" s="69" t="s">
        <v>607</v>
      </c>
      <c r="O16" s="67">
        <v>-2</v>
      </c>
      <c r="P16" s="80">
        <v>-0.3625700793847082</v>
      </c>
      <c r="Q16" s="67">
        <v>0</v>
      </c>
      <c r="R16" s="80">
        <v>0</v>
      </c>
      <c r="S16" s="68">
        <v>0.12056275999999999</v>
      </c>
      <c r="T16" s="81">
        <v>0.5912972487743976</v>
      </c>
    </row>
    <row r="17" spans="2:20" x14ac:dyDescent="0.2">
      <c r="B17" s="74" t="s">
        <v>608</v>
      </c>
      <c r="C17" s="66">
        <v>19</v>
      </c>
      <c r="D17" s="67">
        <v>61070652</v>
      </c>
      <c r="E17" s="67">
        <v>61092678</v>
      </c>
      <c r="F17" s="67">
        <v>22027</v>
      </c>
      <c r="G17" s="68">
        <v>0.15043479400000001</v>
      </c>
      <c r="H17" s="69" t="s">
        <v>608</v>
      </c>
      <c r="I17" s="66">
        <v>22</v>
      </c>
      <c r="J17" s="67">
        <v>61068822</v>
      </c>
      <c r="K17" s="67">
        <v>61092678</v>
      </c>
      <c r="L17" s="67">
        <v>23857</v>
      </c>
      <c r="M17" s="68">
        <v>0.105264493</v>
      </c>
      <c r="N17" s="69" t="s">
        <v>609</v>
      </c>
      <c r="O17" s="67">
        <v>3</v>
      </c>
      <c r="P17" s="80">
        <v>0.21150410519371182</v>
      </c>
      <c r="Q17" s="67">
        <v>1830</v>
      </c>
      <c r="R17" s="80">
        <v>0.11513961818768284</v>
      </c>
      <c r="S17" s="68">
        <v>-4.517030100000001E-2</v>
      </c>
      <c r="T17" s="81">
        <v>-0.51511940618659824</v>
      </c>
    </row>
    <row r="18" spans="2:20" x14ac:dyDescent="0.2">
      <c r="B18" s="74" t="s">
        <v>610</v>
      </c>
      <c r="C18" s="66">
        <v>9</v>
      </c>
      <c r="D18" s="67">
        <v>62551472</v>
      </c>
      <c r="E18" s="67">
        <v>62575443</v>
      </c>
      <c r="F18" s="67">
        <v>23972</v>
      </c>
      <c r="G18" s="68">
        <v>0.24939829299999999</v>
      </c>
      <c r="H18" s="69" t="s">
        <v>610</v>
      </c>
      <c r="I18" s="66">
        <v>3</v>
      </c>
      <c r="J18" s="67">
        <v>62555737</v>
      </c>
      <c r="K18" s="67">
        <v>62560332</v>
      </c>
      <c r="L18" s="67">
        <v>4596</v>
      </c>
      <c r="M18" s="68">
        <v>0.54573778900000003</v>
      </c>
      <c r="N18" s="69" t="s">
        <v>611</v>
      </c>
      <c r="O18" s="67">
        <v>-6</v>
      </c>
      <c r="P18" s="80">
        <v>-1.5849625007211561</v>
      </c>
      <c r="Q18" s="67">
        <v>-19376</v>
      </c>
      <c r="R18" s="80">
        <v>-2.3828995759243168</v>
      </c>
      <c r="S18" s="68">
        <v>0.29633949600000004</v>
      </c>
      <c r="T18" s="81">
        <v>1.1297563542530005</v>
      </c>
    </row>
    <row r="19" spans="2:20" x14ac:dyDescent="0.2">
      <c r="B19" s="74" t="s">
        <v>612</v>
      </c>
      <c r="C19" s="66">
        <v>3</v>
      </c>
      <c r="D19" s="67">
        <v>163110536</v>
      </c>
      <c r="E19" s="67">
        <v>163167746</v>
      </c>
      <c r="F19" s="67">
        <v>57211</v>
      </c>
      <c r="G19" s="68">
        <v>0.75494195600000003</v>
      </c>
      <c r="H19" s="69" t="s">
        <v>613</v>
      </c>
      <c r="I19" s="66">
        <v>1</v>
      </c>
      <c r="J19" s="67">
        <v>163110536</v>
      </c>
      <c r="K19" s="67">
        <v>163110536</v>
      </c>
      <c r="L19" s="67">
        <v>1</v>
      </c>
      <c r="M19" s="68">
        <v>0.98614394999999999</v>
      </c>
      <c r="N19" s="69" t="s">
        <v>614</v>
      </c>
      <c r="O19" s="67">
        <v>-2</v>
      </c>
      <c r="P19" s="80">
        <v>-1.5849625007211561</v>
      </c>
      <c r="Q19" s="67">
        <v>-57210</v>
      </c>
      <c r="R19" s="80">
        <v>-15.804004941233497</v>
      </c>
      <c r="S19" s="68">
        <v>0.23120199399999997</v>
      </c>
      <c r="T19" s="81">
        <v>0.38543252938300793</v>
      </c>
    </row>
    <row r="20" spans="2:20" x14ac:dyDescent="0.2">
      <c r="B20" s="74" t="s">
        <v>615</v>
      </c>
      <c r="C20" s="66">
        <v>50</v>
      </c>
      <c r="D20" s="67">
        <v>16994492</v>
      </c>
      <c r="E20" s="67">
        <v>17094561</v>
      </c>
      <c r="F20" s="67">
        <v>100070</v>
      </c>
      <c r="G20" s="68">
        <v>0.112140696</v>
      </c>
      <c r="H20" s="69" t="s">
        <v>616</v>
      </c>
      <c r="I20" s="66">
        <v>50</v>
      </c>
      <c r="J20" s="67">
        <v>16994492</v>
      </c>
      <c r="K20" s="67">
        <v>17099309</v>
      </c>
      <c r="L20" s="67">
        <v>104818</v>
      </c>
      <c r="M20" s="68">
        <v>0.152336307</v>
      </c>
      <c r="N20" s="69" t="s">
        <v>617</v>
      </c>
      <c r="O20" s="67">
        <v>0</v>
      </c>
      <c r="P20" s="80">
        <v>0</v>
      </c>
      <c r="Q20" s="67">
        <v>4748</v>
      </c>
      <c r="R20" s="80">
        <v>6.687695349780487E-2</v>
      </c>
      <c r="S20" s="68">
        <v>4.0195611000000006E-2</v>
      </c>
      <c r="T20" s="81">
        <v>0.44194989781538829</v>
      </c>
    </row>
    <row r="21" spans="2:20" x14ac:dyDescent="0.2">
      <c r="B21" s="74" t="s">
        <v>618</v>
      </c>
      <c r="C21" s="66">
        <v>26</v>
      </c>
      <c r="D21" s="67">
        <v>101608563</v>
      </c>
      <c r="E21" s="67">
        <v>101660225</v>
      </c>
      <c r="F21" s="67">
        <v>51663</v>
      </c>
      <c r="G21" s="68">
        <v>6.8446880000000002E-2</v>
      </c>
      <c r="H21" s="69" t="s">
        <v>619</v>
      </c>
      <c r="I21" s="66">
        <v>15</v>
      </c>
      <c r="J21" s="67">
        <v>101599433</v>
      </c>
      <c r="K21" s="67">
        <v>101630232</v>
      </c>
      <c r="L21" s="67">
        <v>30800</v>
      </c>
      <c r="M21" s="68">
        <v>0.30042046100000003</v>
      </c>
      <c r="N21" s="69" t="s">
        <v>620</v>
      </c>
      <c r="O21" s="67">
        <v>-11</v>
      </c>
      <c r="P21" s="80">
        <v>-0.79354912253257381</v>
      </c>
      <c r="Q21" s="67">
        <v>-20863</v>
      </c>
      <c r="R21" s="80">
        <v>-0.74620107030300764</v>
      </c>
      <c r="S21" s="68">
        <v>0.23197358100000004</v>
      </c>
      <c r="T21" s="81">
        <v>2.1339263890713882</v>
      </c>
    </row>
    <row r="22" spans="2:20" x14ac:dyDescent="0.2">
      <c r="B22" s="74" t="s">
        <v>621</v>
      </c>
      <c r="C22" s="66">
        <v>1</v>
      </c>
      <c r="D22" s="67">
        <v>189662658</v>
      </c>
      <c r="E22" s="67">
        <v>189662658</v>
      </c>
      <c r="F22" s="67">
        <v>1</v>
      </c>
      <c r="G22" s="68">
        <v>0.95595209999999997</v>
      </c>
      <c r="H22" s="69" t="s">
        <v>622</v>
      </c>
      <c r="I22" s="66">
        <v>1</v>
      </c>
      <c r="J22" s="67">
        <v>189662658</v>
      </c>
      <c r="K22" s="67">
        <v>189662658</v>
      </c>
      <c r="L22" s="67">
        <v>1</v>
      </c>
      <c r="M22" s="68">
        <v>0.99972773199999998</v>
      </c>
      <c r="N22" s="69" t="s">
        <v>623</v>
      </c>
      <c r="O22" s="67">
        <v>0</v>
      </c>
      <c r="P22" s="80">
        <v>0</v>
      </c>
      <c r="Q22" s="67">
        <v>0</v>
      </c>
      <c r="R22" s="80">
        <v>0</v>
      </c>
      <c r="S22" s="68">
        <v>4.3775632000000009E-2</v>
      </c>
      <c r="T22" s="81">
        <v>6.459691097739452E-2</v>
      </c>
    </row>
    <row r="23" spans="2:20" x14ac:dyDescent="0.2">
      <c r="B23" s="74" t="s">
        <v>624</v>
      </c>
      <c r="C23" s="66">
        <v>234</v>
      </c>
      <c r="D23" s="67">
        <v>40180765</v>
      </c>
      <c r="E23" s="67">
        <v>40539510</v>
      </c>
      <c r="F23" s="67">
        <v>358746</v>
      </c>
      <c r="G23" s="68">
        <v>4.4984707999999998E-2</v>
      </c>
      <c r="H23" s="69" t="s">
        <v>624</v>
      </c>
      <c r="I23" s="66">
        <v>46</v>
      </c>
      <c r="J23" s="67">
        <v>40323714</v>
      </c>
      <c r="K23" s="67">
        <v>40440063</v>
      </c>
      <c r="L23" s="67">
        <v>116350</v>
      </c>
      <c r="M23" s="68">
        <v>3.0500474999999999E-2</v>
      </c>
      <c r="N23" s="69" t="s">
        <v>625</v>
      </c>
      <c r="O23" s="67">
        <v>-188</v>
      </c>
      <c r="P23" s="80">
        <v>-2.3468027635263917</v>
      </c>
      <c r="Q23" s="67">
        <v>-242396</v>
      </c>
      <c r="R23" s="80">
        <v>-1.624491535157021</v>
      </c>
      <c r="S23" s="68">
        <v>-1.4484232999999999E-2</v>
      </c>
      <c r="T23" s="81">
        <v>-0.56060294758603391</v>
      </c>
    </row>
    <row r="24" spans="2:20" x14ac:dyDescent="0.2">
      <c r="B24" s="74" t="s">
        <v>626</v>
      </c>
      <c r="C24" s="66">
        <v>12</v>
      </c>
      <c r="D24" s="67">
        <v>96085235</v>
      </c>
      <c r="E24" s="67">
        <v>96120933</v>
      </c>
      <c r="F24" s="67">
        <v>35699</v>
      </c>
      <c r="G24" s="68">
        <v>0.18780039100000001</v>
      </c>
      <c r="H24" s="69" t="s">
        <v>626</v>
      </c>
      <c r="I24" s="66">
        <v>6</v>
      </c>
      <c r="J24" s="67">
        <v>96118852</v>
      </c>
      <c r="K24" s="67">
        <v>96121370</v>
      </c>
      <c r="L24" s="67">
        <v>2519</v>
      </c>
      <c r="M24" s="68">
        <v>0.20252848600000001</v>
      </c>
      <c r="N24" s="69" t="s">
        <v>1772</v>
      </c>
      <c r="O24" s="67">
        <v>-6</v>
      </c>
      <c r="P24" s="80">
        <v>-1</v>
      </c>
      <c r="Q24" s="67">
        <v>-33180</v>
      </c>
      <c r="R24" s="80">
        <v>-3.8249606348777885</v>
      </c>
      <c r="S24" s="68">
        <v>1.4728094999999997E-2</v>
      </c>
      <c r="T24" s="81">
        <v>0.10892477326834503</v>
      </c>
    </row>
    <row r="25" spans="2:20" x14ac:dyDescent="0.2">
      <c r="B25" s="74" t="s">
        <v>627</v>
      </c>
      <c r="C25" s="66">
        <v>4</v>
      </c>
      <c r="D25" s="67">
        <v>131995964</v>
      </c>
      <c r="E25" s="67">
        <v>131996669</v>
      </c>
      <c r="F25" s="67">
        <v>706</v>
      </c>
      <c r="G25" s="68">
        <v>0.45311650999999997</v>
      </c>
      <c r="H25" s="69" t="s">
        <v>627</v>
      </c>
      <c r="I25" s="66">
        <v>4</v>
      </c>
      <c r="J25" s="67">
        <v>131995964</v>
      </c>
      <c r="K25" s="67">
        <v>131996669</v>
      </c>
      <c r="L25" s="67">
        <v>706</v>
      </c>
      <c r="M25" s="68">
        <v>0.41314335800000002</v>
      </c>
      <c r="N25" s="69" t="s">
        <v>628</v>
      </c>
      <c r="O25" s="67">
        <v>0</v>
      </c>
      <c r="P25" s="80">
        <v>0</v>
      </c>
      <c r="Q25" s="67">
        <v>0</v>
      </c>
      <c r="R25" s="80">
        <v>0</v>
      </c>
      <c r="S25" s="68">
        <v>-3.9973151999999956E-2</v>
      </c>
      <c r="T25" s="81">
        <v>-0.13323958452034579</v>
      </c>
    </row>
    <row r="26" spans="2:20" x14ac:dyDescent="0.2">
      <c r="B26" s="74" t="s">
        <v>629</v>
      </c>
      <c r="C26" s="66">
        <v>8</v>
      </c>
      <c r="D26" s="67">
        <v>150464579</v>
      </c>
      <c r="E26" s="67">
        <v>150478318</v>
      </c>
      <c r="F26" s="67">
        <v>13740</v>
      </c>
      <c r="G26" s="68">
        <v>0.370416258</v>
      </c>
      <c r="H26" s="69" t="s">
        <v>629</v>
      </c>
      <c r="I26" s="66">
        <v>3</v>
      </c>
      <c r="J26" s="67">
        <v>150466690</v>
      </c>
      <c r="K26" s="67">
        <v>150469973</v>
      </c>
      <c r="L26" s="67">
        <v>3284</v>
      </c>
      <c r="M26" s="68">
        <v>0.85815712799999999</v>
      </c>
      <c r="N26" s="69" t="s">
        <v>630</v>
      </c>
      <c r="O26" s="67">
        <v>-5</v>
      </c>
      <c r="P26" s="80">
        <v>-1.4150374992788439</v>
      </c>
      <c r="Q26" s="67">
        <v>-10456</v>
      </c>
      <c r="R26" s="80">
        <v>-2.0648559719276576</v>
      </c>
      <c r="S26" s="68">
        <v>0.48774086999999999</v>
      </c>
      <c r="T26" s="81">
        <v>1.2120944068650878</v>
      </c>
    </row>
    <row r="27" spans="2:20" x14ac:dyDescent="0.2">
      <c r="B27" s="74" t="s">
        <v>631</v>
      </c>
      <c r="C27" s="66">
        <v>3</v>
      </c>
      <c r="D27" s="67">
        <v>158826357</v>
      </c>
      <c r="E27" s="67">
        <v>158829527</v>
      </c>
      <c r="F27" s="67">
        <v>3171</v>
      </c>
      <c r="G27" s="68">
        <v>0.49931593899999999</v>
      </c>
      <c r="H27" s="69" t="s">
        <v>631</v>
      </c>
      <c r="I27" s="66">
        <v>1</v>
      </c>
      <c r="J27" s="67">
        <v>158826493</v>
      </c>
      <c r="K27" s="67">
        <v>158826493</v>
      </c>
      <c r="L27" s="67">
        <v>1</v>
      </c>
      <c r="M27" s="68">
        <v>0.99332401999999997</v>
      </c>
      <c r="N27" s="69" t="s">
        <v>632</v>
      </c>
      <c r="O27" s="67">
        <v>-2</v>
      </c>
      <c r="P27" s="80">
        <v>-1.5849625007211561</v>
      </c>
      <c r="Q27" s="67">
        <v>-3170</v>
      </c>
      <c r="R27" s="80">
        <v>-11.63072216210384</v>
      </c>
      <c r="S27" s="68">
        <v>0.49400808099999999</v>
      </c>
      <c r="T27" s="81">
        <v>0.99231143767187624</v>
      </c>
    </row>
    <row r="28" spans="2:20" x14ac:dyDescent="0.2">
      <c r="B28" s="74" t="s">
        <v>633</v>
      </c>
      <c r="C28" s="66">
        <v>10</v>
      </c>
      <c r="D28" s="67">
        <v>475489</v>
      </c>
      <c r="E28" s="67">
        <v>577820</v>
      </c>
      <c r="F28" s="67">
        <v>102332</v>
      </c>
      <c r="G28" s="68">
        <v>0.78839088099999999</v>
      </c>
      <c r="H28" s="69" t="s">
        <v>633</v>
      </c>
      <c r="I28" s="66">
        <v>1</v>
      </c>
      <c r="J28" s="67">
        <v>577820</v>
      </c>
      <c r="K28" s="67">
        <v>577820</v>
      </c>
      <c r="L28" s="67">
        <v>1</v>
      </c>
      <c r="M28" s="68">
        <v>0.99997385962174801</v>
      </c>
      <c r="N28" s="69" t="s">
        <v>634</v>
      </c>
      <c r="O28" s="67">
        <v>-9</v>
      </c>
      <c r="P28" s="80">
        <v>-3.3219280948873622</v>
      </c>
      <c r="Q28" s="67">
        <v>-102331</v>
      </c>
      <c r="R28" s="80">
        <v>-16.642897831859127</v>
      </c>
      <c r="S28" s="68">
        <v>0.21158297862174802</v>
      </c>
      <c r="T28" s="81">
        <v>0.3429792923953332</v>
      </c>
    </row>
    <row r="29" spans="2:20" x14ac:dyDescent="0.2">
      <c r="B29" s="74" t="s">
        <v>635</v>
      </c>
      <c r="C29" s="66">
        <v>5</v>
      </c>
      <c r="D29" s="67">
        <v>20674811</v>
      </c>
      <c r="E29" s="67">
        <v>20721583</v>
      </c>
      <c r="F29" s="67">
        <v>46773</v>
      </c>
      <c r="G29" s="68">
        <v>0.64596905599999999</v>
      </c>
      <c r="H29" s="69" t="s">
        <v>635</v>
      </c>
      <c r="I29" s="66">
        <v>6</v>
      </c>
      <c r="J29" s="67">
        <v>20674811</v>
      </c>
      <c r="K29" s="67">
        <v>20728731</v>
      </c>
      <c r="L29" s="67">
        <v>53921</v>
      </c>
      <c r="M29" s="68">
        <v>0.44888420499999998</v>
      </c>
      <c r="N29" s="69" t="s">
        <v>636</v>
      </c>
      <c r="O29" s="67">
        <v>1</v>
      </c>
      <c r="P29" s="80">
        <v>0.26303440583379378</v>
      </c>
      <c r="Q29" s="67">
        <v>7148</v>
      </c>
      <c r="R29" s="80">
        <v>0.20517128692456502</v>
      </c>
      <c r="S29" s="68">
        <v>-0.19708485100000001</v>
      </c>
      <c r="T29" s="81">
        <v>-0.52512172415371683</v>
      </c>
    </row>
    <row r="30" spans="2:20" x14ac:dyDescent="0.2">
      <c r="B30" s="74" t="s">
        <v>1771</v>
      </c>
      <c r="C30" s="66">
        <v>3</v>
      </c>
      <c r="D30" s="67">
        <v>31251924</v>
      </c>
      <c r="E30" s="67">
        <v>31269946</v>
      </c>
      <c r="F30" s="67">
        <v>18023</v>
      </c>
      <c r="G30" s="68">
        <v>0.51894910000000005</v>
      </c>
      <c r="H30" s="69" t="s">
        <v>1771</v>
      </c>
      <c r="I30" s="66">
        <v>1</v>
      </c>
      <c r="J30" s="67">
        <v>31346655</v>
      </c>
      <c r="K30" s="67">
        <v>31346655</v>
      </c>
      <c r="L30" s="67">
        <v>1</v>
      </c>
      <c r="M30" s="68">
        <v>0.99988779900000002</v>
      </c>
      <c r="N30" s="69" t="s">
        <v>1773</v>
      </c>
      <c r="O30" s="67">
        <v>-2</v>
      </c>
      <c r="P30" s="80">
        <v>-1.5849625007211561</v>
      </c>
      <c r="Q30" s="67">
        <v>-18022</v>
      </c>
      <c r="R30" s="80">
        <v>-14.137551553014397</v>
      </c>
      <c r="S30" s="68">
        <v>0.48093869899999997</v>
      </c>
      <c r="T30" s="81">
        <v>0.94617317207964247</v>
      </c>
    </row>
    <row r="31" spans="2:20" x14ac:dyDescent="0.2">
      <c r="B31" s="74" t="s">
        <v>637</v>
      </c>
      <c r="C31" s="66">
        <v>2</v>
      </c>
      <c r="D31" s="67">
        <v>111913262</v>
      </c>
      <c r="E31" s="67">
        <v>111929862</v>
      </c>
      <c r="F31" s="67">
        <v>16601</v>
      </c>
      <c r="G31" s="68">
        <v>0.851930572</v>
      </c>
      <c r="H31" s="69" t="s">
        <v>637</v>
      </c>
      <c r="I31" s="66">
        <v>1</v>
      </c>
      <c r="J31" s="67">
        <v>111913262</v>
      </c>
      <c r="K31" s="67">
        <v>111913262</v>
      </c>
      <c r="L31" s="67">
        <v>1</v>
      </c>
      <c r="M31" s="68">
        <v>0.99999986740421998</v>
      </c>
      <c r="N31" s="69" t="s">
        <v>638</v>
      </c>
      <c r="O31" s="67">
        <v>-1</v>
      </c>
      <c r="P31" s="80">
        <v>-1</v>
      </c>
      <c r="Q31" s="67">
        <v>-16600</v>
      </c>
      <c r="R31" s="80">
        <v>-14.018982527843816</v>
      </c>
      <c r="S31" s="68">
        <v>0.14806929540421998</v>
      </c>
      <c r="T31" s="81">
        <v>0.23119204064400461</v>
      </c>
    </row>
    <row r="32" spans="2:20" x14ac:dyDescent="0.2">
      <c r="B32" s="74" t="s">
        <v>639</v>
      </c>
      <c r="C32" s="66">
        <v>4</v>
      </c>
      <c r="D32" s="67">
        <v>138189884</v>
      </c>
      <c r="E32" s="67">
        <v>138197824</v>
      </c>
      <c r="F32" s="67">
        <v>7941</v>
      </c>
      <c r="G32" s="68">
        <v>0.41660715300000001</v>
      </c>
      <c r="H32" s="69" t="s">
        <v>639</v>
      </c>
      <c r="I32" s="66">
        <v>4</v>
      </c>
      <c r="J32" s="67">
        <v>138189884</v>
      </c>
      <c r="K32" s="67">
        <v>138197824</v>
      </c>
      <c r="L32" s="67">
        <v>7941</v>
      </c>
      <c r="M32" s="68">
        <v>0.49819479700000002</v>
      </c>
      <c r="N32" s="69" t="s">
        <v>640</v>
      </c>
      <c r="O32" s="67">
        <v>0</v>
      </c>
      <c r="P32" s="80">
        <v>0</v>
      </c>
      <c r="Q32" s="67">
        <v>0</v>
      </c>
      <c r="R32" s="80">
        <v>0</v>
      </c>
      <c r="S32" s="68">
        <v>8.1587644000000015E-2</v>
      </c>
      <c r="T32" s="81">
        <v>0.25802234441097566</v>
      </c>
    </row>
    <row r="33" spans="2:20" x14ac:dyDescent="0.2">
      <c r="B33" s="74" t="s">
        <v>641</v>
      </c>
      <c r="C33" s="66">
        <v>9</v>
      </c>
      <c r="D33" s="67">
        <v>159489791</v>
      </c>
      <c r="E33" s="67">
        <v>159515077</v>
      </c>
      <c r="F33" s="67">
        <v>25287</v>
      </c>
      <c r="G33" s="68">
        <v>0.244262655</v>
      </c>
      <c r="H33" s="69" t="s">
        <v>642</v>
      </c>
      <c r="I33" s="66">
        <v>7</v>
      </c>
      <c r="J33" s="67">
        <v>159489791</v>
      </c>
      <c r="K33" s="67">
        <v>159514253</v>
      </c>
      <c r="L33" s="67">
        <v>24463</v>
      </c>
      <c r="M33" s="68">
        <v>0.49010408599999999</v>
      </c>
      <c r="N33" s="69" t="s">
        <v>643</v>
      </c>
      <c r="O33" s="67">
        <v>-2</v>
      </c>
      <c r="P33" s="80">
        <v>-0.3625700793847082</v>
      </c>
      <c r="Q33" s="67">
        <v>-824</v>
      </c>
      <c r="R33" s="80">
        <v>-4.779455020684871E-2</v>
      </c>
      <c r="S33" s="68">
        <v>0.245841431</v>
      </c>
      <c r="T33" s="81">
        <v>1.0046548658586143</v>
      </c>
    </row>
    <row r="34" spans="2:20" x14ac:dyDescent="0.2">
      <c r="B34" s="74" t="s">
        <v>644</v>
      </c>
      <c r="C34" s="66">
        <v>56</v>
      </c>
      <c r="D34" s="67">
        <v>37382465</v>
      </c>
      <c r="E34" s="67">
        <v>37423428</v>
      </c>
      <c r="F34" s="67">
        <v>40964</v>
      </c>
      <c r="G34" s="68">
        <v>0.144869898</v>
      </c>
      <c r="H34" s="69" t="s">
        <v>645</v>
      </c>
      <c r="I34" s="66">
        <v>39</v>
      </c>
      <c r="J34" s="67">
        <v>37382465</v>
      </c>
      <c r="K34" s="67">
        <v>37437919</v>
      </c>
      <c r="L34" s="67">
        <v>55455</v>
      </c>
      <c r="M34" s="68">
        <v>8.0375452999999999E-2</v>
      </c>
      <c r="N34" s="69" t="s">
        <v>646</v>
      </c>
      <c r="O34" s="67">
        <v>-17</v>
      </c>
      <c r="P34" s="80">
        <v>-0.5219527031953558</v>
      </c>
      <c r="Q34" s="67">
        <v>14491</v>
      </c>
      <c r="R34" s="80">
        <v>0.43696094759967075</v>
      </c>
      <c r="S34" s="68">
        <v>-6.4494444999999997E-2</v>
      </c>
      <c r="T34" s="81">
        <v>-0.84993098489574204</v>
      </c>
    </row>
    <row r="35" spans="2:20" x14ac:dyDescent="0.2">
      <c r="B35" s="74" t="s">
        <v>647</v>
      </c>
      <c r="C35" s="66">
        <v>47</v>
      </c>
      <c r="D35" s="67">
        <v>32466277</v>
      </c>
      <c r="E35" s="67">
        <v>32579853</v>
      </c>
      <c r="F35" s="67">
        <v>113577</v>
      </c>
      <c r="G35" s="68">
        <v>5.5998053999999998E-2</v>
      </c>
      <c r="H35" s="69" t="s">
        <v>648</v>
      </c>
      <c r="I35" s="66">
        <v>1</v>
      </c>
      <c r="J35" s="67">
        <v>32523737</v>
      </c>
      <c r="K35" s="67">
        <v>32523737</v>
      </c>
      <c r="L35" s="67">
        <v>1</v>
      </c>
      <c r="M35" s="68">
        <v>0.96892904499999999</v>
      </c>
      <c r="N35" s="69" t="s">
        <v>649</v>
      </c>
      <c r="O35" s="67">
        <v>-46</v>
      </c>
      <c r="P35" s="80">
        <v>-5.5545888516776376</v>
      </c>
      <c r="Q35" s="67">
        <v>-113576</v>
      </c>
      <c r="R35" s="80">
        <v>-16.793311184759286</v>
      </c>
      <c r="S35" s="68">
        <v>0.91293099099999997</v>
      </c>
      <c r="T35" s="81">
        <v>4.1129424227061122</v>
      </c>
    </row>
    <row r="36" spans="2:20" x14ac:dyDescent="0.2">
      <c r="B36" s="74" t="s">
        <v>650</v>
      </c>
      <c r="C36" s="66">
        <v>64</v>
      </c>
      <c r="D36" s="67">
        <v>110764599</v>
      </c>
      <c r="E36" s="67">
        <v>110836416</v>
      </c>
      <c r="F36" s="67">
        <v>71818</v>
      </c>
      <c r="G36" s="68">
        <v>5.6228018999999997E-2</v>
      </c>
      <c r="H36" s="69" t="s">
        <v>650</v>
      </c>
      <c r="I36" s="66">
        <v>53</v>
      </c>
      <c r="J36" s="67">
        <v>110760316</v>
      </c>
      <c r="K36" s="67">
        <v>110826546</v>
      </c>
      <c r="L36" s="67">
        <v>66231</v>
      </c>
      <c r="M36" s="68">
        <v>0.121068524</v>
      </c>
      <c r="N36" s="69" t="s">
        <v>1774</v>
      </c>
      <c r="O36" s="67">
        <v>-11</v>
      </c>
      <c r="P36" s="80">
        <v>-0.27207954543680085</v>
      </c>
      <c r="Q36" s="67">
        <v>-5587</v>
      </c>
      <c r="R36" s="80">
        <v>-0.11683883597105267</v>
      </c>
      <c r="S36" s="68">
        <v>6.4840504999999993E-2</v>
      </c>
      <c r="T36" s="81">
        <v>1.1064627102025906</v>
      </c>
    </row>
    <row r="37" spans="2:20" x14ac:dyDescent="0.2">
      <c r="B37" s="74" t="s">
        <v>651</v>
      </c>
      <c r="C37" s="66">
        <v>8</v>
      </c>
      <c r="D37" s="67">
        <v>64349979</v>
      </c>
      <c r="E37" s="67">
        <v>64376558</v>
      </c>
      <c r="F37" s="67">
        <v>26580</v>
      </c>
      <c r="G37" s="68">
        <v>0.18858154799999999</v>
      </c>
      <c r="H37" s="69" t="s">
        <v>651</v>
      </c>
      <c r="I37" s="66">
        <v>8</v>
      </c>
      <c r="J37" s="67">
        <v>64349979</v>
      </c>
      <c r="K37" s="67">
        <v>64376558</v>
      </c>
      <c r="L37" s="67">
        <v>26580</v>
      </c>
      <c r="M37" s="68">
        <v>0.183846333</v>
      </c>
      <c r="N37" s="69" t="s">
        <v>652</v>
      </c>
      <c r="O37" s="67">
        <v>0</v>
      </c>
      <c r="P37" s="80">
        <v>0</v>
      </c>
      <c r="Q37" s="67">
        <v>0</v>
      </c>
      <c r="R37" s="80">
        <v>0</v>
      </c>
      <c r="S37" s="68">
        <v>-4.7352149999999871E-3</v>
      </c>
      <c r="T37" s="81">
        <v>-3.6688119773566306E-2</v>
      </c>
    </row>
    <row r="38" spans="2:20" x14ac:dyDescent="0.2">
      <c r="B38" s="74" t="s">
        <v>653</v>
      </c>
      <c r="C38" s="66">
        <v>11</v>
      </c>
      <c r="D38" s="67">
        <v>75594050</v>
      </c>
      <c r="E38" s="67">
        <v>75636148</v>
      </c>
      <c r="F38" s="67">
        <v>42099</v>
      </c>
      <c r="G38" s="68">
        <v>0.11375489</v>
      </c>
      <c r="H38" s="69" t="s">
        <v>653</v>
      </c>
      <c r="I38" s="66">
        <v>11</v>
      </c>
      <c r="J38" s="67">
        <v>75594050</v>
      </c>
      <c r="K38" s="67">
        <v>75636148</v>
      </c>
      <c r="L38" s="67">
        <v>42099</v>
      </c>
      <c r="M38" s="68">
        <v>0.117885264</v>
      </c>
      <c r="N38" s="69" t="s">
        <v>654</v>
      </c>
      <c r="O38" s="67">
        <v>0</v>
      </c>
      <c r="P38" s="80">
        <v>0</v>
      </c>
      <c r="Q38" s="67">
        <v>0</v>
      </c>
      <c r="R38" s="80">
        <v>0</v>
      </c>
      <c r="S38" s="68">
        <v>4.1303740000000061E-3</v>
      </c>
      <c r="T38" s="81">
        <v>5.1454824511514612E-2</v>
      </c>
    </row>
    <row r="39" spans="2:20" x14ac:dyDescent="0.2">
      <c r="B39" s="74" t="s">
        <v>655</v>
      </c>
      <c r="C39" s="66">
        <v>25</v>
      </c>
      <c r="D39" s="67">
        <v>81032532</v>
      </c>
      <c r="E39" s="67">
        <v>81058027</v>
      </c>
      <c r="F39" s="67">
        <v>25496</v>
      </c>
      <c r="G39" s="68">
        <v>0.48778865599999999</v>
      </c>
      <c r="H39" s="69" t="s">
        <v>656</v>
      </c>
      <c r="I39" s="66">
        <v>5</v>
      </c>
      <c r="J39" s="67">
        <v>81032532</v>
      </c>
      <c r="K39" s="67">
        <v>81047575</v>
      </c>
      <c r="L39" s="67">
        <v>15044</v>
      </c>
      <c r="M39" s="68">
        <v>0.74740295499999998</v>
      </c>
      <c r="N39" s="69" t="s">
        <v>657</v>
      </c>
      <c r="O39" s="67">
        <v>-20</v>
      </c>
      <c r="P39" s="80">
        <v>-2.3219280948873622</v>
      </c>
      <c r="Q39" s="67">
        <v>-10452</v>
      </c>
      <c r="R39" s="80">
        <v>-0.7610827127375468</v>
      </c>
      <c r="S39" s="68">
        <v>0.25961429899999999</v>
      </c>
      <c r="T39" s="81">
        <v>0.61563006045292723</v>
      </c>
    </row>
    <row r="40" spans="2:20" x14ac:dyDescent="0.2">
      <c r="B40" s="74" t="s">
        <v>658</v>
      </c>
      <c r="C40" s="66">
        <v>8</v>
      </c>
      <c r="D40" s="67">
        <v>89626845</v>
      </c>
      <c r="E40" s="67">
        <v>89824771</v>
      </c>
      <c r="F40" s="67">
        <v>197927</v>
      </c>
      <c r="G40" s="68">
        <v>0.181144106</v>
      </c>
      <c r="H40" s="69" t="s">
        <v>658</v>
      </c>
      <c r="I40" s="66">
        <v>6</v>
      </c>
      <c r="J40" s="67">
        <v>89626845</v>
      </c>
      <c r="K40" s="67">
        <v>89824771</v>
      </c>
      <c r="L40" s="67">
        <v>197927</v>
      </c>
      <c r="M40" s="68">
        <v>0.775922907</v>
      </c>
      <c r="N40" s="69" t="s">
        <v>659</v>
      </c>
      <c r="O40" s="67">
        <v>-2</v>
      </c>
      <c r="P40" s="80">
        <v>-0.41503749927884381</v>
      </c>
      <c r="Q40" s="67">
        <v>0</v>
      </c>
      <c r="R40" s="80">
        <v>0</v>
      </c>
      <c r="S40" s="68">
        <v>0.59477880100000002</v>
      </c>
      <c r="T40" s="81">
        <v>2.098775453697252</v>
      </c>
    </row>
    <row r="41" spans="2:20" x14ac:dyDescent="0.2">
      <c r="B41" s="74" t="s">
        <v>660</v>
      </c>
      <c r="C41" s="66">
        <v>38</v>
      </c>
      <c r="D41" s="67">
        <v>101900579</v>
      </c>
      <c r="E41" s="67">
        <v>102039463</v>
      </c>
      <c r="F41" s="67">
        <v>138885</v>
      </c>
      <c r="G41" s="68">
        <v>8.4260088999999996E-2</v>
      </c>
      <c r="H41" s="69" t="s">
        <v>660</v>
      </c>
      <c r="I41" s="66">
        <v>18</v>
      </c>
      <c r="J41" s="67">
        <v>101903906</v>
      </c>
      <c r="K41" s="67">
        <v>102039187</v>
      </c>
      <c r="L41" s="67">
        <v>135282</v>
      </c>
      <c r="M41" s="68">
        <v>0.40384935399999999</v>
      </c>
      <c r="N41" s="69" t="s">
        <v>661</v>
      </c>
      <c r="O41" s="67">
        <v>-20</v>
      </c>
      <c r="P41" s="80">
        <v>-1.0780025120012731</v>
      </c>
      <c r="Q41" s="67">
        <v>-3603</v>
      </c>
      <c r="R41" s="80">
        <v>-3.7920898580957131E-2</v>
      </c>
      <c r="S41" s="68">
        <v>0.31958926500000001</v>
      </c>
      <c r="T41" s="81">
        <v>2.2608958868049802</v>
      </c>
    </row>
    <row r="42" spans="2:20" x14ac:dyDescent="0.2">
      <c r="B42" s="74" t="s">
        <v>662</v>
      </c>
      <c r="C42" s="66">
        <v>56</v>
      </c>
      <c r="D42" s="67">
        <v>64012910</v>
      </c>
      <c r="E42" s="67">
        <v>64141771</v>
      </c>
      <c r="F42" s="67">
        <v>128862</v>
      </c>
      <c r="G42" s="68">
        <v>0.139684481</v>
      </c>
      <c r="H42" s="69" t="s">
        <v>663</v>
      </c>
      <c r="I42" s="66">
        <v>13</v>
      </c>
      <c r="J42" s="67">
        <v>64016229</v>
      </c>
      <c r="K42" s="67">
        <v>64107735</v>
      </c>
      <c r="L42" s="67">
        <v>91507</v>
      </c>
      <c r="M42" s="68">
        <v>0.347230396</v>
      </c>
      <c r="N42" s="69" t="s">
        <v>664</v>
      </c>
      <c r="O42" s="67">
        <v>-43</v>
      </c>
      <c r="P42" s="80">
        <v>-2.106915203916512</v>
      </c>
      <c r="Q42" s="67">
        <v>-37355</v>
      </c>
      <c r="R42" s="80">
        <v>-0.49387287696408072</v>
      </c>
      <c r="S42" s="68">
        <v>0.207545915</v>
      </c>
      <c r="T42" s="81">
        <v>1.3137214988817061</v>
      </c>
    </row>
    <row r="43" spans="2:20" x14ac:dyDescent="0.2">
      <c r="B43" s="74" t="s">
        <v>665</v>
      </c>
      <c r="C43" s="66">
        <v>33</v>
      </c>
      <c r="D43" s="67">
        <v>65549415</v>
      </c>
      <c r="E43" s="67">
        <v>65663606</v>
      </c>
      <c r="F43" s="67">
        <v>114192</v>
      </c>
      <c r="G43" s="68">
        <v>0.808677227</v>
      </c>
      <c r="H43" s="69" t="s">
        <v>665</v>
      </c>
      <c r="I43" s="66">
        <v>9</v>
      </c>
      <c r="J43" s="67">
        <v>65575263</v>
      </c>
      <c r="K43" s="67">
        <v>65662985</v>
      </c>
      <c r="L43" s="67">
        <v>87723</v>
      </c>
      <c r="M43" s="68">
        <v>0.29711861000000001</v>
      </c>
      <c r="N43" s="69" t="s">
        <v>1775</v>
      </c>
      <c r="O43" s="67">
        <v>-24</v>
      </c>
      <c r="P43" s="80">
        <v>-1.8744691179161412</v>
      </c>
      <c r="Q43" s="67">
        <v>-26469</v>
      </c>
      <c r="R43" s="80">
        <v>-0.38043452665333882</v>
      </c>
      <c r="S43" s="68">
        <v>-0.51155861699999994</v>
      </c>
      <c r="T43" s="81">
        <v>-1.4445250134863941</v>
      </c>
    </row>
    <row r="44" spans="2:20" x14ac:dyDescent="0.2">
      <c r="B44" s="74" t="s">
        <v>666</v>
      </c>
      <c r="C44" s="66">
        <v>52</v>
      </c>
      <c r="D44" s="67">
        <v>109959102</v>
      </c>
      <c r="E44" s="67">
        <v>109996290</v>
      </c>
      <c r="F44" s="67">
        <v>37189</v>
      </c>
      <c r="G44" s="68">
        <v>0.13030655699999999</v>
      </c>
      <c r="H44" s="69" t="s">
        <v>667</v>
      </c>
      <c r="I44" s="66">
        <v>58</v>
      </c>
      <c r="J44" s="67">
        <v>109959102</v>
      </c>
      <c r="K44" s="67">
        <v>110000980</v>
      </c>
      <c r="L44" s="67">
        <v>41879</v>
      </c>
      <c r="M44" s="68">
        <v>4.1081592E-2</v>
      </c>
      <c r="N44" s="69" t="s">
        <v>1776</v>
      </c>
      <c r="O44" s="67">
        <v>6</v>
      </c>
      <c r="P44" s="80">
        <v>0.15754127698647999</v>
      </c>
      <c r="Q44" s="67">
        <v>4690</v>
      </c>
      <c r="R44" s="80">
        <v>0.17135103867629939</v>
      </c>
      <c r="S44" s="68">
        <v>-8.9224964999999989E-2</v>
      </c>
      <c r="T44" s="81">
        <v>-1.6653456864736609</v>
      </c>
    </row>
    <row r="45" spans="2:20" x14ac:dyDescent="0.2">
      <c r="B45" s="74" t="s">
        <v>668</v>
      </c>
      <c r="C45" s="66">
        <v>6</v>
      </c>
      <c r="D45" s="67">
        <v>128380974</v>
      </c>
      <c r="E45" s="67">
        <v>128396738</v>
      </c>
      <c r="F45" s="67">
        <v>15765</v>
      </c>
      <c r="G45" s="68">
        <v>0.24734357000000001</v>
      </c>
      <c r="H45" s="69" t="s">
        <v>668</v>
      </c>
      <c r="I45" s="66">
        <v>7</v>
      </c>
      <c r="J45" s="67">
        <v>128380974</v>
      </c>
      <c r="K45" s="67">
        <v>128396738</v>
      </c>
      <c r="L45" s="67">
        <v>15765</v>
      </c>
      <c r="M45" s="68">
        <v>0.27990620399999999</v>
      </c>
      <c r="N45" s="69" t="s">
        <v>669</v>
      </c>
      <c r="O45" s="67">
        <v>1</v>
      </c>
      <c r="P45" s="80">
        <v>0.22239242133644799</v>
      </c>
      <c r="Q45" s="67">
        <v>0</v>
      </c>
      <c r="R45" s="80">
        <v>0</v>
      </c>
      <c r="S45" s="68">
        <v>3.2562633999999979E-2</v>
      </c>
      <c r="T45" s="81">
        <v>0.17842706862320307</v>
      </c>
    </row>
    <row r="46" spans="2:20" x14ac:dyDescent="0.2">
      <c r="B46" s="74" t="s">
        <v>670</v>
      </c>
      <c r="C46" s="66">
        <v>68</v>
      </c>
      <c r="D46" s="67">
        <v>10524824</v>
      </c>
      <c r="E46" s="67">
        <v>10644713</v>
      </c>
      <c r="F46" s="67">
        <v>119890</v>
      </c>
      <c r="G46" s="68">
        <v>0.138811252</v>
      </c>
      <c r="H46" s="69" t="s">
        <v>670</v>
      </c>
      <c r="I46" s="66">
        <v>15</v>
      </c>
      <c r="J46" s="67">
        <v>10555448</v>
      </c>
      <c r="K46" s="67">
        <v>10609589</v>
      </c>
      <c r="L46" s="67">
        <v>54142</v>
      </c>
      <c r="M46" s="68">
        <v>0.31994354400000002</v>
      </c>
      <c r="N46" s="69" t="s">
        <v>1777</v>
      </c>
      <c r="O46" s="67">
        <v>-53</v>
      </c>
      <c r="P46" s="80">
        <v>-2.1805722456418208</v>
      </c>
      <c r="Q46" s="67">
        <v>-65748</v>
      </c>
      <c r="R46" s="80">
        <v>-1.14689124221804</v>
      </c>
      <c r="S46" s="68">
        <v>0.18113229200000003</v>
      </c>
      <c r="T46" s="81">
        <v>1.2046928380853512</v>
      </c>
    </row>
    <row r="47" spans="2:20" x14ac:dyDescent="0.2">
      <c r="B47" s="74" t="s">
        <v>671</v>
      </c>
      <c r="C47" s="66">
        <v>76</v>
      </c>
      <c r="D47" s="67">
        <v>56630764</v>
      </c>
      <c r="E47" s="67">
        <v>56753822</v>
      </c>
      <c r="F47" s="67">
        <v>123059</v>
      </c>
      <c r="G47" s="68">
        <v>2.2647582999999999E-2</v>
      </c>
      <c r="H47" s="69" t="s">
        <v>672</v>
      </c>
      <c r="I47" s="66">
        <v>80</v>
      </c>
      <c r="J47" s="67">
        <v>56644251</v>
      </c>
      <c r="K47" s="67">
        <v>56753822</v>
      </c>
      <c r="L47" s="67">
        <v>109572</v>
      </c>
      <c r="M47" s="68">
        <v>2.1270865E-2</v>
      </c>
      <c r="N47" s="69" t="s">
        <v>1778</v>
      </c>
      <c r="O47" s="67">
        <v>4</v>
      </c>
      <c r="P47" s="80">
        <v>7.4000581443776775E-2</v>
      </c>
      <c r="Q47" s="67">
        <v>-13487</v>
      </c>
      <c r="R47" s="80">
        <v>-0.16747099461042034</v>
      </c>
      <c r="S47" s="68">
        <v>-1.376717999999999E-3</v>
      </c>
      <c r="T47" s="81">
        <v>-9.0478387830127932E-2</v>
      </c>
    </row>
    <row r="48" spans="2:20" x14ac:dyDescent="0.2">
      <c r="B48" s="74" t="s">
        <v>673</v>
      </c>
      <c r="C48" s="66">
        <v>8</v>
      </c>
      <c r="D48" s="67">
        <v>111865049</v>
      </c>
      <c r="E48" s="67">
        <v>112083162</v>
      </c>
      <c r="F48" s="67">
        <v>218114</v>
      </c>
      <c r="G48" s="68">
        <v>0.36187184300000003</v>
      </c>
      <c r="H48" s="69" t="s">
        <v>673</v>
      </c>
      <c r="I48" s="66">
        <v>4</v>
      </c>
      <c r="J48" s="67">
        <v>111884608</v>
      </c>
      <c r="K48" s="67">
        <v>112007756</v>
      </c>
      <c r="L48" s="67">
        <v>123149</v>
      </c>
      <c r="M48" s="68">
        <v>0.42732672300000002</v>
      </c>
      <c r="N48" s="69" t="s">
        <v>674</v>
      </c>
      <c r="O48" s="67">
        <v>-4</v>
      </c>
      <c r="P48" s="80">
        <v>-1</v>
      </c>
      <c r="Q48" s="67">
        <v>-94965</v>
      </c>
      <c r="R48" s="80">
        <v>-0.82467746181832724</v>
      </c>
      <c r="S48" s="68">
        <v>6.5454879999999993E-2</v>
      </c>
      <c r="T48" s="81">
        <v>0.23986068222553372</v>
      </c>
    </row>
    <row r="49" spans="2:20" x14ac:dyDescent="0.2">
      <c r="B49" s="74" t="s">
        <v>675</v>
      </c>
      <c r="C49" s="66">
        <v>14</v>
      </c>
      <c r="D49" s="67">
        <v>122659785</v>
      </c>
      <c r="E49" s="67">
        <v>122673048</v>
      </c>
      <c r="F49" s="67">
        <v>13264</v>
      </c>
      <c r="G49" s="68">
        <v>0.315716783</v>
      </c>
      <c r="H49" s="69" t="s">
        <v>676</v>
      </c>
      <c r="I49" s="66">
        <v>23</v>
      </c>
      <c r="J49" s="67">
        <v>122645458</v>
      </c>
      <c r="K49" s="67">
        <v>122673048</v>
      </c>
      <c r="L49" s="67">
        <v>27591</v>
      </c>
      <c r="M49" s="68">
        <v>0.127691005</v>
      </c>
      <c r="N49" s="69" t="s">
        <v>1779</v>
      </c>
      <c r="O49" s="67">
        <v>9</v>
      </c>
      <c r="P49" s="80">
        <v>0.71620703399940866</v>
      </c>
      <c r="Q49" s="67">
        <v>14327</v>
      </c>
      <c r="R49" s="80">
        <v>1.0566818343025604</v>
      </c>
      <c r="S49" s="68">
        <v>-0.188025778</v>
      </c>
      <c r="T49" s="81">
        <v>-1.305974053907129</v>
      </c>
    </row>
    <row r="50" spans="2:20" x14ac:dyDescent="0.2">
      <c r="B50" s="74" t="s">
        <v>677</v>
      </c>
      <c r="C50" s="66">
        <v>11</v>
      </c>
      <c r="D50" s="67">
        <v>40745693</v>
      </c>
      <c r="E50" s="67">
        <v>40854251</v>
      </c>
      <c r="F50" s="67">
        <v>108559</v>
      </c>
      <c r="G50" s="68">
        <v>0.305435546</v>
      </c>
      <c r="H50" s="69" t="s">
        <v>677</v>
      </c>
      <c r="I50" s="66">
        <v>101</v>
      </c>
      <c r="J50" s="67">
        <v>40546256</v>
      </c>
      <c r="K50" s="67">
        <v>40880834</v>
      </c>
      <c r="L50" s="67">
        <v>334579</v>
      </c>
      <c r="M50" s="68">
        <v>0.32290282199999998</v>
      </c>
      <c r="N50" s="69" t="s">
        <v>678</v>
      </c>
      <c r="O50" s="67">
        <v>90</v>
      </c>
      <c r="P50" s="80">
        <v>3.1987798641144973</v>
      </c>
      <c r="Q50" s="67">
        <v>226020</v>
      </c>
      <c r="R50" s="80">
        <v>1.6238675603922157</v>
      </c>
      <c r="S50" s="68">
        <v>1.7467275999999976E-2</v>
      </c>
      <c r="T50" s="81">
        <v>8.0232079426273931E-2</v>
      </c>
    </row>
    <row r="51" spans="2:20" x14ac:dyDescent="0.2">
      <c r="B51" s="74" t="s">
        <v>679</v>
      </c>
      <c r="C51" s="66">
        <v>16</v>
      </c>
      <c r="D51" s="67">
        <v>45321621</v>
      </c>
      <c r="E51" s="67">
        <v>45371573</v>
      </c>
      <c r="F51" s="67">
        <v>49953</v>
      </c>
      <c r="G51" s="68">
        <v>0.14054212599999999</v>
      </c>
      <c r="H51" s="69" t="s">
        <v>680</v>
      </c>
      <c r="I51" s="66">
        <v>15</v>
      </c>
      <c r="J51" s="67">
        <v>45318096</v>
      </c>
      <c r="K51" s="67">
        <v>45343590</v>
      </c>
      <c r="L51" s="67">
        <v>25495</v>
      </c>
      <c r="M51" s="68">
        <v>9.529348E-2</v>
      </c>
      <c r="N51" s="69" t="s">
        <v>681</v>
      </c>
      <c r="O51" s="67">
        <v>-1</v>
      </c>
      <c r="P51" s="80">
        <v>-9.3109404391481465E-2</v>
      </c>
      <c r="Q51" s="67">
        <v>-24458</v>
      </c>
      <c r="R51" s="80">
        <v>-0.97035698580007712</v>
      </c>
      <c r="S51" s="68">
        <v>-4.524864599999999E-2</v>
      </c>
      <c r="T51" s="81">
        <v>-0.5605532145594645</v>
      </c>
    </row>
    <row r="52" spans="2:20" x14ac:dyDescent="0.2">
      <c r="B52" s="74" t="s">
        <v>682</v>
      </c>
      <c r="C52" s="66">
        <v>31</v>
      </c>
      <c r="D52" s="67">
        <v>99810343</v>
      </c>
      <c r="E52" s="67">
        <v>100044673</v>
      </c>
      <c r="F52" s="67">
        <v>234331</v>
      </c>
      <c r="G52" s="68">
        <v>0.12960226799999999</v>
      </c>
      <c r="H52" s="69" t="s">
        <v>682</v>
      </c>
      <c r="I52" s="66">
        <v>27</v>
      </c>
      <c r="J52" s="67">
        <v>99810343</v>
      </c>
      <c r="K52" s="67">
        <v>100044673</v>
      </c>
      <c r="L52" s="67">
        <v>234331</v>
      </c>
      <c r="M52" s="68">
        <v>7.7198571999999993E-2</v>
      </c>
      <c r="N52" s="69" t="s">
        <v>683</v>
      </c>
      <c r="O52" s="67">
        <v>-4</v>
      </c>
      <c r="P52" s="80">
        <v>-0.19930880822340666</v>
      </c>
      <c r="Q52" s="67">
        <v>0</v>
      </c>
      <c r="R52" s="80">
        <v>0</v>
      </c>
      <c r="S52" s="68">
        <v>-5.2403696E-2</v>
      </c>
      <c r="T52" s="81">
        <v>-0.74744489892636934</v>
      </c>
    </row>
    <row r="53" spans="2:20" x14ac:dyDescent="0.2">
      <c r="B53" s="74" t="s">
        <v>684</v>
      </c>
      <c r="C53" s="66">
        <v>6</v>
      </c>
      <c r="D53" s="67">
        <v>35832666</v>
      </c>
      <c r="E53" s="67">
        <v>35853079</v>
      </c>
      <c r="F53" s="67">
        <v>20414</v>
      </c>
      <c r="G53" s="68">
        <v>0.39821177800000002</v>
      </c>
      <c r="H53" s="69" t="s">
        <v>685</v>
      </c>
      <c r="I53" s="66">
        <v>1</v>
      </c>
      <c r="J53" s="67">
        <v>35832666</v>
      </c>
      <c r="K53" s="67">
        <v>35832666</v>
      </c>
      <c r="L53" s="67">
        <v>1</v>
      </c>
      <c r="M53" s="68">
        <v>0.99979627632143597</v>
      </c>
      <c r="N53" s="69" t="s">
        <v>686</v>
      </c>
      <c r="O53" s="67">
        <v>-5</v>
      </c>
      <c r="P53" s="80">
        <v>-2.5849625007211561</v>
      </c>
      <c r="Q53" s="67">
        <v>-20413</v>
      </c>
      <c r="R53" s="80">
        <v>-14.317271276998566</v>
      </c>
      <c r="S53" s="68">
        <v>0.60158449832143601</v>
      </c>
      <c r="T53" s="81">
        <v>1.3280982611965531</v>
      </c>
    </row>
    <row r="54" spans="2:20" x14ac:dyDescent="0.2">
      <c r="B54" s="74" t="s">
        <v>687</v>
      </c>
      <c r="C54" s="66">
        <v>9</v>
      </c>
      <c r="D54" s="67">
        <v>98643863</v>
      </c>
      <c r="E54" s="67">
        <v>98670849</v>
      </c>
      <c r="F54" s="67">
        <v>26987</v>
      </c>
      <c r="G54" s="68">
        <v>0.256021781</v>
      </c>
      <c r="H54" s="69" t="s">
        <v>396</v>
      </c>
      <c r="I54" s="66">
        <v>6</v>
      </c>
      <c r="J54" s="67">
        <v>98646940</v>
      </c>
      <c r="K54" s="67">
        <v>98670849</v>
      </c>
      <c r="L54" s="67">
        <v>23910</v>
      </c>
      <c r="M54" s="68">
        <v>0.370360827</v>
      </c>
      <c r="N54" s="69" t="s">
        <v>1780</v>
      </c>
      <c r="O54" s="67">
        <v>-3</v>
      </c>
      <c r="P54" s="80">
        <v>-0.5849625007211563</v>
      </c>
      <c r="Q54" s="67">
        <v>-3077</v>
      </c>
      <c r="R54" s="80">
        <v>-0.17465047900128686</v>
      </c>
      <c r="S54" s="68">
        <v>0.114339046</v>
      </c>
      <c r="T54" s="81">
        <v>0.5326649606366014</v>
      </c>
    </row>
    <row r="55" spans="2:20" x14ac:dyDescent="0.2">
      <c r="B55" s="74" t="s">
        <v>688</v>
      </c>
      <c r="C55" s="66">
        <v>4</v>
      </c>
      <c r="D55" s="67">
        <v>31637569</v>
      </c>
      <c r="E55" s="67">
        <v>31653646</v>
      </c>
      <c r="F55" s="67">
        <v>16078</v>
      </c>
      <c r="G55" s="68">
        <v>0.27747111200000002</v>
      </c>
      <c r="H55" s="69" t="s">
        <v>689</v>
      </c>
      <c r="I55" s="66">
        <v>3</v>
      </c>
      <c r="J55" s="67">
        <v>31637569</v>
      </c>
      <c r="K55" s="67">
        <v>31660799</v>
      </c>
      <c r="L55" s="67">
        <v>23231</v>
      </c>
      <c r="M55" s="68">
        <v>0.46751082100000002</v>
      </c>
      <c r="N55" s="69" t="s">
        <v>690</v>
      </c>
      <c r="O55" s="67">
        <v>-1</v>
      </c>
      <c r="P55" s="80">
        <v>-0.41503749927884381</v>
      </c>
      <c r="Q55" s="67">
        <v>7153</v>
      </c>
      <c r="R55" s="80">
        <v>0.53096330195810393</v>
      </c>
      <c r="S55" s="68">
        <v>0.190039709</v>
      </c>
      <c r="T55" s="81">
        <v>0.75266218019781317</v>
      </c>
    </row>
    <row r="56" spans="2:20" x14ac:dyDescent="0.2">
      <c r="B56" s="74" t="s">
        <v>691</v>
      </c>
      <c r="C56" s="66">
        <v>8</v>
      </c>
      <c r="D56" s="67">
        <v>11344903</v>
      </c>
      <c r="E56" s="67">
        <v>11437779</v>
      </c>
      <c r="F56" s="67">
        <v>92877</v>
      </c>
      <c r="G56" s="68">
        <v>0.41182629399999998</v>
      </c>
      <c r="H56" s="69" t="s">
        <v>691</v>
      </c>
      <c r="I56" s="66">
        <v>3</v>
      </c>
      <c r="J56" s="67">
        <v>11344903</v>
      </c>
      <c r="K56" s="67">
        <v>11350811</v>
      </c>
      <c r="L56" s="67">
        <v>5909</v>
      </c>
      <c r="M56" s="68">
        <v>0.77051850300000002</v>
      </c>
      <c r="N56" s="69" t="s">
        <v>692</v>
      </c>
      <c r="O56" s="67">
        <v>-5</v>
      </c>
      <c r="P56" s="80">
        <v>-1.4150374992788439</v>
      </c>
      <c r="Q56" s="67">
        <v>-86968</v>
      </c>
      <c r="R56" s="80">
        <v>-3.9743354687491301</v>
      </c>
      <c r="S56" s="68">
        <v>0.35869220900000004</v>
      </c>
      <c r="T56" s="81">
        <v>0.90379365649696208</v>
      </c>
    </row>
    <row r="57" spans="2:20" x14ac:dyDescent="0.2">
      <c r="B57" s="74" t="s">
        <v>693</v>
      </c>
      <c r="C57" s="66">
        <v>63</v>
      </c>
      <c r="D57" s="67">
        <v>30968589</v>
      </c>
      <c r="E57" s="67">
        <v>31102321</v>
      </c>
      <c r="F57" s="67">
        <v>133733</v>
      </c>
      <c r="G57" s="68">
        <v>5.5775735E-2</v>
      </c>
      <c r="H57" s="69" t="s">
        <v>694</v>
      </c>
      <c r="I57" s="66">
        <v>95</v>
      </c>
      <c r="J57" s="67">
        <v>30914626</v>
      </c>
      <c r="K57" s="67">
        <v>31147548</v>
      </c>
      <c r="L57" s="67">
        <v>232923</v>
      </c>
      <c r="M57" s="68">
        <v>3.2520625999999997E-2</v>
      </c>
      <c r="N57" s="69" t="s">
        <v>695</v>
      </c>
      <c r="O57" s="67">
        <v>32</v>
      </c>
      <c r="P57" s="80">
        <v>0.5925756848310314</v>
      </c>
      <c r="Q57" s="67">
        <v>99190</v>
      </c>
      <c r="R57" s="80">
        <v>0.80049759634366657</v>
      </c>
      <c r="S57" s="68">
        <v>-2.3255109000000003E-2</v>
      </c>
      <c r="T57" s="81">
        <v>-0.77828259152154</v>
      </c>
    </row>
    <row r="58" spans="2:20" x14ac:dyDescent="0.2">
      <c r="B58" s="74" t="s">
        <v>696</v>
      </c>
      <c r="C58" s="66">
        <v>1</v>
      </c>
      <c r="D58" s="67">
        <v>26124908</v>
      </c>
      <c r="E58" s="67">
        <v>26124908</v>
      </c>
      <c r="F58" s="67">
        <v>1</v>
      </c>
      <c r="G58" s="68">
        <v>0.99953737355761996</v>
      </c>
      <c r="H58" s="69" t="s">
        <v>696</v>
      </c>
      <c r="I58" s="66">
        <v>1</v>
      </c>
      <c r="J58" s="67">
        <v>26124908</v>
      </c>
      <c r="K58" s="67">
        <v>26124908</v>
      </c>
      <c r="L58" s="67">
        <v>1</v>
      </c>
      <c r="M58" s="68">
        <v>0.999649695</v>
      </c>
      <c r="N58" s="69" t="s">
        <v>697</v>
      </c>
      <c r="O58" s="67">
        <v>0</v>
      </c>
      <c r="P58" s="80">
        <v>0</v>
      </c>
      <c r="Q58" s="67">
        <v>0</v>
      </c>
      <c r="R58" s="80">
        <v>0</v>
      </c>
      <c r="S58" s="68">
        <v>1.1232144238004782E-4</v>
      </c>
      <c r="T58" s="81">
        <v>1.6211148083759987E-4</v>
      </c>
    </row>
    <row r="59" spans="2:20" x14ac:dyDescent="0.2">
      <c r="B59" s="74" t="s">
        <v>698</v>
      </c>
      <c r="C59" s="66">
        <v>43</v>
      </c>
      <c r="D59" s="67">
        <v>40492540</v>
      </c>
      <c r="E59" s="67">
        <v>40564784</v>
      </c>
      <c r="F59" s="67">
        <v>72245</v>
      </c>
      <c r="G59" s="68">
        <v>9.0636953000000006E-2</v>
      </c>
      <c r="H59" s="69" t="s">
        <v>698</v>
      </c>
      <c r="I59" s="66">
        <v>33</v>
      </c>
      <c r="J59" s="67">
        <v>40492887</v>
      </c>
      <c r="K59" s="67">
        <v>40562610</v>
      </c>
      <c r="L59" s="67">
        <v>69724</v>
      </c>
      <c r="M59" s="68">
        <v>4.3130905999999997E-2</v>
      </c>
      <c r="N59" s="69" t="s">
        <v>1781</v>
      </c>
      <c r="O59" s="67">
        <v>-10</v>
      </c>
      <c r="P59" s="80">
        <v>-0.3818706353436444</v>
      </c>
      <c r="Q59" s="67">
        <v>-2521</v>
      </c>
      <c r="R59" s="80">
        <v>-5.1242405782077435E-2</v>
      </c>
      <c r="S59" s="68">
        <v>-4.750604700000001E-2</v>
      </c>
      <c r="T59" s="81">
        <v>-1.0713773405969413</v>
      </c>
    </row>
    <row r="60" spans="2:20" x14ac:dyDescent="0.2">
      <c r="B60" s="74" t="s">
        <v>699</v>
      </c>
      <c r="C60" s="66">
        <v>56</v>
      </c>
      <c r="D60" s="67">
        <v>73757836</v>
      </c>
      <c r="E60" s="67">
        <v>73920219</v>
      </c>
      <c r="F60" s="67">
        <v>162384</v>
      </c>
      <c r="G60" s="68">
        <v>9.8892081000000007E-2</v>
      </c>
      <c r="H60" s="69" t="s">
        <v>699</v>
      </c>
      <c r="I60" s="66">
        <v>10</v>
      </c>
      <c r="J60" s="67">
        <v>73803613</v>
      </c>
      <c r="K60" s="67">
        <v>73920219</v>
      </c>
      <c r="L60" s="67">
        <v>116607</v>
      </c>
      <c r="M60" s="68">
        <v>0.27724687199999998</v>
      </c>
      <c r="N60" s="69" t="s">
        <v>1782</v>
      </c>
      <c r="O60" s="67">
        <v>-46</v>
      </c>
      <c r="P60" s="80">
        <v>-2.4854268271702415</v>
      </c>
      <c r="Q60" s="67">
        <v>-45777</v>
      </c>
      <c r="R60" s="80">
        <v>-0.47775509094507618</v>
      </c>
      <c r="S60" s="68">
        <v>0.17835479099999996</v>
      </c>
      <c r="T60" s="81">
        <v>1.4872442797120529</v>
      </c>
    </row>
    <row r="61" spans="2:20" x14ac:dyDescent="0.2">
      <c r="B61" s="74" t="s">
        <v>700</v>
      </c>
      <c r="C61" s="66">
        <v>13</v>
      </c>
      <c r="D61" s="67">
        <v>78174673</v>
      </c>
      <c r="E61" s="67">
        <v>78178893</v>
      </c>
      <c r="F61" s="67">
        <v>4221</v>
      </c>
      <c r="G61" s="68">
        <v>0.106852926</v>
      </c>
      <c r="H61" s="69" t="s">
        <v>701</v>
      </c>
      <c r="I61" s="66">
        <v>10</v>
      </c>
      <c r="J61" s="67">
        <v>78174673</v>
      </c>
      <c r="K61" s="67">
        <v>78178893</v>
      </c>
      <c r="L61" s="67">
        <v>4221</v>
      </c>
      <c r="M61" s="68">
        <v>0.19348362899999999</v>
      </c>
      <c r="N61" s="69" t="s">
        <v>702</v>
      </c>
      <c r="O61" s="67">
        <v>-3</v>
      </c>
      <c r="P61" s="80">
        <v>-0.37851162325372972</v>
      </c>
      <c r="Q61" s="67">
        <v>0</v>
      </c>
      <c r="R61" s="80">
        <v>0</v>
      </c>
      <c r="S61" s="68">
        <v>8.6630702999999989E-2</v>
      </c>
      <c r="T61" s="81">
        <v>0.85658508801291822</v>
      </c>
    </row>
    <row r="62" spans="2:20" x14ac:dyDescent="0.2">
      <c r="B62" s="74" t="s">
        <v>703</v>
      </c>
      <c r="C62" s="66">
        <v>30</v>
      </c>
      <c r="D62" s="67">
        <v>12763706</v>
      </c>
      <c r="E62" s="67">
        <v>12857002</v>
      </c>
      <c r="F62" s="67">
        <v>93297</v>
      </c>
      <c r="G62" s="68">
        <v>0.27228332500000002</v>
      </c>
      <c r="H62" s="69" t="s">
        <v>703</v>
      </c>
      <c r="I62" s="66">
        <v>1</v>
      </c>
      <c r="J62" s="67">
        <v>12857002</v>
      </c>
      <c r="K62" s="67">
        <v>12857002</v>
      </c>
      <c r="L62" s="67">
        <v>1</v>
      </c>
      <c r="M62" s="68">
        <v>0.99911102200000002</v>
      </c>
      <c r="N62" s="69" t="s">
        <v>1783</v>
      </c>
      <c r="O62" s="67">
        <v>-29</v>
      </c>
      <c r="P62" s="80">
        <v>-4.9068905956085187</v>
      </c>
      <c r="Q62" s="67">
        <v>-93296</v>
      </c>
      <c r="R62" s="80">
        <v>-16.509543070972597</v>
      </c>
      <c r="S62" s="68">
        <v>0.72682769700000005</v>
      </c>
      <c r="T62" s="81">
        <v>1.8755363678427235</v>
      </c>
    </row>
    <row r="63" spans="2:20" x14ac:dyDescent="0.2">
      <c r="B63" s="74" t="s">
        <v>704</v>
      </c>
      <c r="C63" s="66">
        <v>66</v>
      </c>
      <c r="D63" s="67">
        <v>51777727</v>
      </c>
      <c r="E63" s="67">
        <v>51843005</v>
      </c>
      <c r="F63" s="67">
        <v>65279</v>
      </c>
      <c r="G63" s="68">
        <v>4.4405254999999998E-2</v>
      </c>
      <c r="H63" s="69" t="s">
        <v>704</v>
      </c>
      <c r="I63" s="66">
        <v>63</v>
      </c>
      <c r="J63" s="67">
        <v>51777727</v>
      </c>
      <c r="K63" s="67">
        <v>51835760</v>
      </c>
      <c r="L63" s="67">
        <v>58034</v>
      </c>
      <c r="M63" s="68">
        <v>4.8059131999999997E-2</v>
      </c>
      <c r="N63" s="69" t="s">
        <v>705</v>
      </c>
      <c r="O63" s="67">
        <v>-3</v>
      </c>
      <c r="P63" s="80">
        <v>-6.711419585853691E-2</v>
      </c>
      <c r="Q63" s="67">
        <v>-7245</v>
      </c>
      <c r="R63" s="80">
        <v>-0.16972058679544569</v>
      </c>
      <c r="S63" s="68">
        <v>3.6538769999999998E-3</v>
      </c>
      <c r="T63" s="81">
        <v>0.11408017418959544</v>
      </c>
    </row>
    <row r="64" spans="2:20" x14ac:dyDescent="0.2">
      <c r="B64" s="74" t="s">
        <v>706</v>
      </c>
      <c r="C64" s="66">
        <v>3</v>
      </c>
      <c r="D64" s="67">
        <v>10459969</v>
      </c>
      <c r="E64" s="67">
        <v>10466123</v>
      </c>
      <c r="F64" s="67">
        <v>6155</v>
      </c>
      <c r="G64" s="68">
        <v>0.56011535800000001</v>
      </c>
      <c r="H64" s="69" t="s">
        <v>707</v>
      </c>
      <c r="I64" s="66">
        <v>1</v>
      </c>
      <c r="J64" s="67">
        <v>10463118</v>
      </c>
      <c r="K64" s="67">
        <v>10463118</v>
      </c>
      <c r="L64" s="67">
        <v>1</v>
      </c>
      <c r="M64" s="68">
        <v>0.99999999999967704</v>
      </c>
      <c r="N64" s="69" t="s">
        <v>708</v>
      </c>
      <c r="O64" s="67">
        <v>-2</v>
      </c>
      <c r="P64" s="80">
        <v>-1.5849625007211561</v>
      </c>
      <c r="Q64" s="67">
        <v>-6154</v>
      </c>
      <c r="R64" s="80">
        <v>-12.587543141371821</v>
      </c>
      <c r="S64" s="68">
        <v>0.43988464199967703</v>
      </c>
      <c r="T64" s="81">
        <v>0.83620410829655278</v>
      </c>
    </row>
    <row r="65" spans="2:20" x14ac:dyDescent="0.2">
      <c r="B65" s="74" t="s">
        <v>709</v>
      </c>
      <c r="C65" s="66">
        <v>28</v>
      </c>
      <c r="D65" s="67">
        <v>10815899</v>
      </c>
      <c r="E65" s="67">
        <v>11085543</v>
      </c>
      <c r="F65" s="67">
        <v>269645</v>
      </c>
      <c r="G65" s="68">
        <v>0.20262032499999999</v>
      </c>
      <c r="H65" s="69" t="s">
        <v>710</v>
      </c>
      <c r="I65" s="66">
        <v>5</v>
      </c>
      <c r="J65" s="67">
        <v>10811667</v>
      </c>
      <c r="K65" s="67">
        <v>10819967</v>
      </c>
      <c r="L65" s="67">
        <v>8301</v>
      </c>
      <c r="M65" s="68">
        <v>0.41178277200000002</v>
      </c>
      <c r="N65" s="69" t="s">
        <v>711</v>
      </c>
      <c r="O65" s="67">
        <v>-23</v>
      </c>
      <c r="P65" s="80">
        <v>-2.4854268271702415</v>
      </c>
      <c r="Q65" s="67">
        <v>-261344</v>
      </c>
      <c r="R65" s="80">
        <v>-5.021632327453772</v>
      </c>
      <c r="S65" s="68">
        <v>0.20916244700000003</v>
      </c>
      <c r="T65" s="81">
        <v>1.0231045731023762</v>
      </c>
    </row>
    <row r="66" spans="2:20" x14ac:dyDescent="0.2">
      <c r="B66" s="74" t="s">
        <v>712</v>
      </c>
      <c r="C66" s="66">
        <v>20</v>
      </c>
      <c r="D66" s="67">
        <v>49203829</v>
      </c>
      <c r="E66" s="67">
        <v>49210869</v>
      </c>
      <c r="F66" s="67">
        <v>7041</v>
      </c>
      <c r="G66" s="68">
        <v>0.17671399400000001</v>
      </c>
      <c r="H66" s="69" t="s">
        <v>713</v>
      </c>
      <c r="I66" s="66">
        <v>41</v>
      </c>
      <c r="J66" s="67">
        <v>49177696</v>
      </c>
      <c r="K66" s="67">
        <v>49248730</v>
      </c>
      <c r="L66" s="67">
        <v>71035</v>
      </c>
      <c r="M66" s="68">
        <v>0.28140256499999999</v>
      </c>
      <c r="N66" s="69" t="s">
        <v>714</v>
      </c>
      <c r="O66" s="67">
        <v>21</v>
      </c>
      <c r="P66" s="80">
        <v>1.0356239097307212</v>
      </c>
      <c r="Q66" s="67">
        <v>63994</v>
      </c>
      <c r="R66" s="80">
        <v>3.3346777893835</v>
      </c>
      <c r="S66" s="68">
        <v>0.10468857099999998</v>
      </c>
      <c r="T66" s="81">
        <v>0.67121918729247043</v>
      </c>
    </row>
    <row r="67" spans="2:20" x14ac:dyDescent="0.2">
      <c r="B67" s="74" t="s">
        <v>715</v>
      </c>
      <c r="C67" s="66">
        <v>36</v>
      </c>
      <c r="D67" s="67">
        <v>48514174</v>
      </c>
      <c r="E67" s="67">
        <v>48582769</v>
      </c>
      <c r="F67" s="67">
        <v>68596</v>
      </c>
      <c r="G67" s="68">
        <v>5.9861791999999997E-2</v>
      </c>
      <c r="H67" s="69" t="s">
        <v>716</v>
      </c>
      <c r="I67" s="66">
        <v>30</v>
      </c>
      <c r="J67" s="67">
        <v>48514174</v>
      </c>
      <c r="K67" s="67">
        <v>48580010</v>
      </c>
      <c r="L67" s="67">
        <v>65837</v>
      </c>
      <c r="M67" s="68">
        <v>6.5183970999999993E-2</v>
      </c>
      <c r="N67" s="69" t="s">
        <v>1784</v>
      </c>
      <c r="O67" s="67">
        <v>-6</v>
      </c>
      <c r="P67" s="80">
        <v>-0.26303440583379373</v>
      </c>
      <c r="Q67" s="67">
        <v>-2759</v>
      </c>
      <c r="R67" s="80">
        <v>-5.9225853932082399E-2</v>
      </c>
      <c r="S67" s="68">
        <v>5.3221789999999963E-3</v>
      </c>
      <c r="T67" s="81">
        <v>0.12288177611287278</v>
      </c>
    </row>
    <row r="68" spans="2:20" x14ac:dyDescent="0.2">
      <c r="B68" s="74" t="s">
        <v>717</v>
      </c>
      <c r="C68" s="66">
        <v>27</v>
      </c>
      <c r="D68" s="67">
        <v>36423991</v>
      </c>
      <c r="E68" s="67">
        <v>36507995</v>
      </c>
      <c r="F68" s="67">
        <v>84005</v>
      </c>
      <c r="G68" s="68">
        <v>0.125519135</v>
      </c>
      <c r="H68" s="69" t="s">
        <v>718</v>
      </c>
      <c r="I68" s="66">
        <v>48</v>
      </c>
      <c r="J68" s="67">
        <v>36423991</v>
      </c>
      <c r="K68" s="67">
        <v>36523905</v>
      </c>
      <c r="L68" s="67">
        <v>99915</v>
      </c>
      <c r="M68" s="68">
        <v>0.23975490699999999</v>
      </c>
      <c r="N68" s="69" t="s">
        <v>1785</v>
      </c>
      <c r="O68" s="67">
        <v>21</v>
      </c>
      <c r="P68" s="80">
        <v>0.83007499855768763</v>
      </c>
      <c r="Q68" s="67">
        <v>15910</v>
      </c>
      <c r="R68" s="80">
        <v>0.25022608259298362</v>
      </c>
      <c r="S68" s="68">
        <v>0.11423577199999999</v>
      </c>
      <c r="T68" s="81">
        <v>0.93365302750797463</v>
      </c>
    </row>
    <row r="69" spans="2:20" x14ac:dyDescent="0.2">
      <c r="B69" s="74" t="s">
        <v>719</v>
      </c>
      <c r="C69" s="66">
        <v>74</v>
      </c>
      <c r="D69" s="67">
        <v>21917859</v>
      </c>
      <c r="E69" s="67">
        <v>21985094</v>
      </c>
      <c r="F69" s="67">
        <v>67236</v>
      </c>
      <c r="G69" s="68">
        <v>2.7695494000000001E-2</v>
      </c>
      <c r="H69" s="69" t="s">
        <v>720</v>
      </c>
      <c r="I69" s="66">
        <v>58</v>
      </c>
      <c r="J69" s="67">
        <v>21917239</v>
      </c>
      <c r="K69" s="67">
        <v>21982249</v>
      </c>
      <c r="L69" s="67">
        <v>65011</v>
      </c>
      <c r="M69" s="68">
        <v>3.3696138E-2</v>
      </c>
      <c r="N69" s="69" t="s">
        <v>1786</v>
      </c>
      <c r="O69" s="67">
        <v>-16</v>
      </c>
      <c r="P69" s="80">
        <v>-0.3514723705013777</v>
      </c>
      <c r="Q69" s="67">
        <v>-2225</v>
      </c>
      <c r="R69" s="80">
        <v>-4.8550052525649569E-2</v>
      </c>
      <c r="S69" s="68">
        <v>6.0006439999999994E-3</v>
      </c>
      <c r="T69" s="81">
        <v>0.28293197809105919</v>
      </c>
    </row>
    <row r="70" spans="2:20" x14ac:dyDescent="0.2">
      <c r="B70" s="70" t="s">
        <v>721</v>
      </c>
      <c r="C70" s="105">
        <v>36.063492063492063</v>
      </c>
      <c r="D70" s="103"/>
      <c r="E70" s="103"/>
      <c r="F70" s="240">
        <v>74746.682539682544</v>
      </c>
      <c r="G70" s="104">
        <v>0.28594702527869231</v>
      </c>
      <c r="H70" s="106"/>
      <c r="I70" s="105">
        <v>30.61904761904762</v>
      </c>
      <c r="J70" s="103"/>
      <c r="K70" s="103"/>
      <c r="L70" s="240">
        <v>55882.380952380954</v>
      </c>
      <c r="M70" s="104">
        <v>0.43185119297376312</v>
      </c>
      <c r="N70" s="106"/>
      <c r="O70" s="70"/>
      <c r="P70" s="71"/>
      <c r="Q70" s="71"/>
      <c r="R70" s="71"/>
      <c r="S70" s="71"/>
      <c r="T70" s="72"/>
    </row>
    <row r="71" spans="2:20" x14ac:dyDescent="0.2">
      <c r="B71" s="92" t="s">
        <v>722</v>
      </c>
      <c r="C71" s="98">
        <v>16</v>
      </c>
      <c r="D71" s="93"/>
      <c r="E71" s="93"/>
      <c r="F71" s="93">
        <v>46773</v>
      </c>
      <c r="G71" s="94">
        <v>0.18858154799999999</v>
      </c>
      <c r="H71" s="95"/>
      <c r="I71" s="98">
        <v>8</v>
      </c>
      <c r="J71" s="93"/>
      <c r="K71" s="93"/>
      <c r="L71" s="93">
        <v>25495</v>
      </c>
      <c r="M71" s="94">
        <v>0.32290282199999998</v>
      </c>
      <c r="N71" s="95"/>
      <c r="O71" s="92"/>
      <c r="P71" s="96"/>
      <c r="Q71" s="96"/>
      <c r="R71" s="96"/>
      <c r="S71" s="96"/>
      <c r="T71" s="97"/>
    </row>
    <row r="72" spans="2:20" x14ac:dyDescent="0.2">
      <c r="B72" s="92" t="s">
        <v>724</v>
      </c>
      <c r="C72" s="98">
        <v>12</v>
      </c>
      <c r="D72" s="93"/>
      <c r="E72" s="93"/>
      <c r="F72" s="93"/>
      <c r="G72" s="93"/>
      <c r="H72" s="95"/>
      <c r="I72" s="98">
        <v>23</v>
      </c>
      <c r="J72" s="93"/>
      <c r="K72" s="93"/>
      <c r="L72" s="93"/>
      <c r="M72" s="93"/>
      <c r="N72" s="95"/>
      <c r="O72" s="92"/>
      <c r="P72" s="96"/>
      <c r="Q72" s="96"/>
      <c r="R72" s="96"/>
      <c r="S72" s="96"/>
      <c r="T72" s="97"/>
    </row>
    <row r="73" spans="2:20" x14ac:dyDescent="0.2">
      <c r="B73" s="92"/>
      <c r="C73" s="107">
        <f>C72/63</f>
        <v>0.19047619047619047</v>
      </c>
      <c r="D73" s="93"/>
      <c r="E73" s="93"/>
      <c r="F73" s="93"/>
      <c r="G73" s="93"/>
      <c r="H73" s="95"/>
      <c r="I73" s="107">
        <f>I72/63</f>
        <v>0.36507936507936506</v>
      </c>
      <c r="J73" s="93"/>
      <c r="K73" s="93"/>
      <c r="L73" s="93"/>
      <c r="M73" s="93"/>
      <c r="N73" s="95"/>
      <c r="O73" s="92"/>
      <c r="P73" s="96"/>
      <c r="Q73" s="96"/>
      <c r="R73" s="96"/>
      <c r="S73" s="96"/>
      <c r="T73" s="97"/>
    </row>
    <row r="74" spans="2:20" x14ac:dyDescent="0.2">
      <c r="B74" s="92" t="s">
        <v>726</v>
      </c>
      <c r="C74" s="98">
        <v>3</v>
      </c>
      <c r="D74" s="93"/>
      <c r="E74" s="93"/>
      <c r="F74" s="93"/>
      <c r="G74" s="93"/>
      <c r="H74" s="95"/>
      <c r="I74" s="98">
        <v>14</v>
      </c>
      <c r="J74" s="93"/>
      <c r="K74" s="93"/>
      <c r="L74" s="93"/>
      <c r="M74" s="93"/>
      <c r="N74" s="95"/>
      <c r="O74" s="92"/>
      <c r="P74" s="96"/>
      <c r="Q74" s="96"/>
      <c r="R74" s="96"/>
      <c r="S74" s="96"/>
      <c r="T74" s="97"/>
    </row>
    <row r="75" spans="2:20" x14ac:dyDescent="0.2">
      <c r="B75" s="92"/>
      <c r="C75" s="107">
        <f>C74/63</f>
        <v>4.7619047619047616E-2</v>
      </c>
      <c r="D75" s="93"/>
      <c r="E75" s="93"/>
      <c r="F75" s="93"/>
      <c r="G75" s="93"/>
      <c r="H75" s="95"/>
      <c r="I75" s="107">
        <f>I74/63</f>
        <v>0.22222222222222221</v>
      </c>
      <c r="J75" s="93"/>
      <c r="K75" s="93"/>
      <c r="L75" s="93"/>
      <c r="M75" s="93"/>
      <c r="N75" s="95"/>
      <c r="O75" s="92"/>
      <c r="P75" s="96"/>
      <c r="Q75" s="96"/>
      <c r="R75" s="96"/>
      <c r="S75" s="96"/>
      <c r="T75" s="97"/>
    </row>
    <row r="76" spans="2:20" x14ac:dyDescent="0.2">
      <c r="B76" s="92" t="s">
        <v>737</v>
      </c>
      <c r="C76" s="92"/>
      <c r="D76" s="96"/>
      <c r="E76" s="96"/>
      <c r="F76" s="96"/>
      <c r="G76" s="93">
        <v>10</v>
      </c>
      <c r="H76" s="97"/>
      <c r="I76" s="98"/>
      <c r="J76" s="93"/>
      <c r="K76" s="93"/>
      <c r="L76" s="93"/>
      <c r="M76" s="93">
        <v>19</v>
      </c>
      <c r="N76" s="95"/>
      <c r="O76" s="92"/>
      <c r="P76" s="96"/>
      <c r="Q76" s="96"/>
      <c r="R76" s="96"/>
      <c r="S76" s="96"/>
      <c r="T76" s="97"/>
    </row>
    <row r="77" spans="2:20" x14ac:dyDescent="0.2">
      <c r="B77" s="99"/>
      <c r="C77" s="99"/>
      <c r="D77" s="100"/>
      <c r="E77" s="100"/>
      <c r="F77" s="100"/>
      <c r="G77" s="109">
        <f>G76/63</f>
        <v>0.15873015873015872</v>
      </c>
      <c r="H77" s="101"/>
      <c r="I77" s="63"/>
      <c r="J77" s="64"/>
      <c r="K77" s="64"/>
      <c r="L77" s="64"/>
      <c r="M77" s="109">
        <f>M76/63</f>
        <v>0.30158730158730157</v>
      </c>
      <c r="N77" s="65"/>
      <c r="O77" s="99"/>
      <c r="P77" s="100"/>
      <c r="Q77" s="100"/>
      <c r="R77" s="100"/>
      <c r="S77" s="100"/>
      <c r="T77" s="101"/>
    </row>
    <row r="78" spans="2:20" x14ac:dyDescent="0.2">
      <c r="B78" s="92" t="s">
        <v>723</v>
      </c>
      <c r="C78" s="58"/>
      <c r="D78" s="57"/>
      <c r="E78" s="57"/>
      <c r="F78" s="57"/>
      <c r="G78" s="57"/>
      <c r="H78" s="59"/>
      <c r="I78" s="58"/>
      <c r="J78" s="57"/>
      <c r="K78" s="57"/>
      <c r="L78" s="57"/>
      <c r="M78" s="57"/>
      <c r="N78" s="59"/>
      <c r="O78" s="102">
        <v>44</v>
      </c>
      <c r="P78" s="55"/>
      <c r="Q78" s="110">
        <v>39</v>
      </c>
      <c r="R78" s="55"/>
      <c r="S78" s="55"/>
      <c r="T78" s="56"/>
    </row>
    <row r="79" spans="2:20" x14ac:dyDescent="0.2">
      <c r="B79" s="92"/>
      <c r="C79" s="58"/>
      <c r="D79" s="57"/>
      <c r="E79" s="57"/>
      <c r="F79" s="57"/>
      <c r="G79" s="57"/>
      <c r="H79" s="59"/>
      <c r="I79" s="58"/>
      <c r="J79" s="57"/>
      <c r="K79" s="57"/>
      <c r="L79" s="57"/>
      <c r="M79" s="57"/>
      <c r="N79" s="59"/>
      <c r="O79" s="107">
        <f>O78/63</f>
        <v>0.69841269841269837</v>
      </c>
      <c r="P79" s="57"/>
      <c r="Q79" s="111">
        <f>Q78/63</f>
        <v>0.61904761904761907</v>
      </c>
      <c r="R79" s="57"/>
      <c r="S79" s="57"/>
      <c r="T79" s="59"/>
    </row>
    <row r="80" spans="2:20" x14ac:dyDescent="0.2">
      <c r="B80" s="92" t="s">
        <v>727</v>
      </c>
      <c r="C80" s="58"/>
      <c r="D80" s="57"/>
      <c r="E80" s="57"/>
      <c r="F80" s="57"/>
      <c r="G80" s="57"/>
      <c r="H80" s="59"/>
      <c r="I80" s="58"/>
      <c r="J80" s="57"/>
      <c r="K80" s="57"/>
      <c r="L80" s="57"/>
      <c r="M80" s="57"/>
      <c r="N80" s="59"/>
      <c r="O80" s="98">
        <v>8</v>
      </c>
      <c r="P80" s="57"/>
      <c r="Q80" s="112">
        <v>12</v>
      </c>
      <c r="R80" s="57"/>
      <c r="S80" s="57"/>
      <c r="T80" s="59"/>
    </row>
    <row r="81" spans="2:20" x14ac:dyDescent="0.2">
      <c r="B81" s="92"/>
      <c r="C81" s="58"/>
      <c r="D81" s="57"/>
      <c r="E81" s="57"/>
      <c r="F81" s="57"/>
      <c r="G81" s="57"/>
      <c r="H81" s="59"/>
      <c r="I81" s="58"/>
      <c r="J81" s="57"/>
      <c r="K81" s="57"/>
      <c r="L81" s="57"/>
      <c r="M81" s="57"/>
      <c r="N81" s="59"/>
      <c r="O81" s="107">
        <f>O80/63</f>
        <v>0.12698412698412698</v>
      </c>
      <c r="P81" s="57"/>
      <c r="Q81" s="111">
        <f>Q80/63</f>
        <v>0.19047619047619047</v>
      </c>
      <c r="R81" s="57"/>
      <c r="S81" s="57"/>
      <c r="T81" s="59"/>
    </row>
    <row r="82" spans="2:20" x14ac:dyDescent="0.2">
      <c r="B82" s="92" t="s">
        <v>725</v>
      </c>
      <c r="C82" s="58"/>
      <c r="D82" s="57"/>
      <c r="E82" s="57"/>
      <c r="F82" s="57"/>
      <c r="G82" s="57"/>
      <c r="H82" s="59"/>
      <c r="I82" s="58"/>
      <c r="J82" s="57"/>
      <c r="K82" s="57"/>
      <c r="L82" s="57"/>
      <c r="M82" s="57"/>
      <c r="N82" s="59"/>
      <c r="O82" s="98">
        <v>11</v>
      </c>
      <c r="P82" s="57"/>
      <c r="Q82" s="112">
        <v>12</v>
      </c>
      <c r="R82" s="57"/>
      <c r="S82" s="57"/>
      <c r="T82" s="59"/>
    </row>
    <row r="83" spans="2:20" x14ac:dyDescent="0.2">
      <c r="B83" s="99"/>
      <c r="C83" s="60"/>
      <c r="D83" s="61"/>
      <c r="E83" s="61"/>
      <c r="F83" s="61"/>
      <c r="G83" s="61"/>
      <c r="H83" s="62"/>
      <c r="I83" s="60"/>
      <c r="J83" s="61"/>
      <c r="K83" s="61"/>
      <c r="L83" s="61"/>
      <c r="M83" s="61"/>
      <c r="N83" s="62"/>
      <c r="O83" s="108">
        <f>O82/63</f>
        <v>0.17460317460317459</v>
      </c>
      <c r="P83" s="61"/>
      <c r="Q83" s="109">
        <f>Q82/63</f>
        <v>0.19047619047619047</v>
      </c>
      <c r="R83" s="61"/>
      <c r="S83" s="61"/>
      <c r="T83" s="6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2774-842A-844C-98FA-2098A7564678}">
  <dimension ref="B2:L53"/>
  <sheetViews>
    <sheetView zoomScaleNormal="100" workbookViewId="0"/>
  </sheetViews>
  <sheetFormatPr baseColWidth="10" defaultColWidth="11" defaultRowHeight="16" x14ac:dyDescent="0.2"/>
  <cols>
    <col min="1" max="1" width="4" customWidth="1"/>
    <col min="2" max="2" width="21.6640625" customWidth="1"/>
    <col min="3" max="4" width="14" customWidth="1"/>
    <col min="5" max="5" width="23.5" bestFit="1" customWidth="1"/>
    <col min="6" max="6" width="34.83203125" bestFit="1" customWidth="1"/>
    <col min="7" max="7" width="12.6640625" customWidth="1"/>
    <col min="8" max="8" width="25.1640625" bestFit="1" customWidth="1"/>
    <col min="9" max="9" width="15.33203125" customWidth="1"/>
    <col min="10" max="10" width="14.1640625" customWidth="1"/>
    <col min="11" max="12" width="18.1640625" customWidth="1"/>
  </cols>
  <sheetData>
    <row r="2" spans="2:12" x14ac:dyDescent="0.2">
      <c r="B2" s="25" t="s">
        <v>2912</v>
      </c>
      <c r="C2" s="25"/>
    </row>
    <row r="3" spans="2:12" ht="18" x14ac:dyDescent="0.25">
      <c r="B3" s="181" t="s">
        <v>2310</v>
      </c>
      <c r="C3" s="157"/>
    </row>
    <row r="4" spans="2:12" ht="19" x14ac:dyDescent="0.2">
      <c r="B4" s="181" t="s">
        <v>2312</v>
      </c>
      <c r="C4" s="157"/>
    </row>
    <row r="6" spans="2:12" ht="34" x14ac:dyDescent="0.2">
      <c r="B6" s="175" t="s">
        <v>1733</v>
      </c>
      <c r="C6" s="160" t="s">
        <v>8</v>
      </c>
      <c r="D6" s="160" t="s">
        <v>828</v>
      </c>
      <c r="E6" s="160" t="s">
        <v>1734</v>
      </c>
      <c r="F6" s="160" t="s">
        <v>2311</v>
      </c>
      <c r="G6" s="160" t="s">
        <v>1735</v>
      </c>
      <c r="H6" s="160" t="s">
        <v>1736</v>
      </c>
      <c r="I6" s="160" t="s">
        <v>1737</v>
      </c>
      <c r="J6" s="161" t="s">
        <v>1740</v>
      </c>
      <c r="K6" s="160" t="s">
        <v>1738</v>
      </c>
      <c r="L6" s="162" t="s">
        <v>1739</v>
      </c>
    </row>
    <row r="7" spans="2:12" x14ac:dyDescent="0.2">
      <c r="B7" s="134" t="s">
        <v>1572</v>
      </c>
      <c r="C7" s="146" t="s">
        <v>2271</v>
      </c>
      <c r="D7" s="290" t="s">
        <v>1573</v>
      </c>
      <c r="E7" s="146" t="s">
        <v>1574</v>
      </c>
      <c r="F7" s="146" t="s">
        <v>1575</v>
      </c>
      <c r="G7" s="168">
        <v>27</v>
      </c>
      <c r="H7" s="146" t="s">
        <v>1576</v>
      </c>
      <c r="I7" s="146" t="s">
        <v>1577</v>
      </c>
      <c r="J7" s="169">
        <v>5.1657414999999998E-2</v>
      </c>
      <c r="K7" s="146" t="s">
        <v>1578</v>
      </c>
      <c r="L7" s="170" t="s">
        <v>1579</v>
      </c>
    </row>
    <row r="8" spans="2:12" x14ac:dyDescent="0.2">
      <c r="B8" s="134" t="s">
        <v>1580</v>
      </c>
      <c r="C8" s="146" t="s">
        <v>2272</v>
      </c>
      <c r="D8" s="290" t="s">
        <v>1581</v>
      </c>
      <c r="E8" s="146" t="s">
        <v>1574</v>
      </c>
      <c r="F8" s="146" t="s">
        <v>1582</v>
      </c>
      <c r="G8" s="168">
        <v>4.806</v>
      </c>
      <c r="H8" s="146" t="s">
        <v>1583</v>
      </c>
      <c r="I8" s="146" t="s">
        <v>1584</v>
      </c>
      <c r="J8" s="169">
        <v>3.4759752999999997E-2</v>
      </c>
      <c r="K8" s="146" t="s">
        <v>1578</v>
      </c>
      <c r="L8" s="170" t="s">
        <v>1585</v>
      </c>
    </row>
    <row r="9" spans="2:12" x14ac:dyDescent="0.2">
      <c r="B9" s="134" t="s">
        <v>1586</v>
      </c>
      <c r="C9" s="146" t="s">
        <v>2273</v>
      </c>
      <c r="D9" s="290" t="s">
        <v>1587</v>
      </c>
      <c r="E9" s="146" t="s">
        <v>1574</v>
      </c>
      <c r="F9" s="146" t="s">
        <v>1588</v>
      </c>
      <c r="G9" s="168">
        <v>19.53</v>
      </c>
      <c r="H9" s="146" t="s">
        <v>1589</v>
      </c>
      <c r="I9" s="146" t="s">
        <v>1590</v>
      </c>
      <c r="J9" s="169">
        <v>1.06671E-3</v>
      </c>
      <c r="K9" s="146" t="s">
        <v>1591</v>
      </c>
      <c r="L9" s="170" t="s">
        <v>1579</v>
      </c>
    </row>
    <row r="10" spans="2:12" x14ac:dyDescent="0.2">
      <c r="B10" s="134" t="s">
        <v>1592</v>
      </c>
      <c r="C10" s="146" t="s">
        <v>2274</v>
      </c>
      <c r="D10" s="290" t="s">
        <v>1593</v>
      </c>
      <c r="E10" s="146" t="s">
        <v>1574</v>
      </c>
      <c r="F10" s="146" t="s">
        <v>1594</v>
      </c>
      <c r="G10" s="168">
        <v>7.0990000000000002</v>
      </c>
      <c r="H10" s="146" t="s">
        <v>1595</v>
      </c>
      <c r="I10" s="146" t="s">
        <v>1596</v>
      </c>
      <c r="J10" s="169">
        <v>1.2258897E-2</v>
      </c>
      <c r="K10" s="146" t="s">
        <v>1591</v>
      </c>
      <c r="L10" s="170" t="s">
        <v>1579</v>
      </c>
    </row>
    <row r="11" spans="2:12" x14ac:dyDescent="0.2">
      <c r="B11" s="134" t="s">
        <v>1597</v>
      </c>
      <c r="C11" s="146" t="s">
        <v>2275</v>
      </c>
      <c r="D11" s="290" t="s">
        <v>758</v>
      </c>
      <c r="E11" s="146" t="s">
        <v>1574</v>
      </c>
      <c r="F11" s="146" t="s">
        <v>1598</v>
      </c>
      <c r="G11" s="168">
        <v>13.34</v>
      </c>
      <c r="H11" s="146" t="s">
        <v>1599</v>
      </c>
      <c r="I11" s="146" t="s">
        <v>1600</v>
      </c>
      <c r="J11" s="169">
        <v>0.17043409700000001</v>
      </c>
      <c r="K11" s="146" t="s">
        <v>1578</v>
      </c>
      <c r="L11" s="170" t="s">
        <v>1579</v>
      </c>
    </row>
    <row r="12" spans="2:12" x14ac:dyDescent="0.2">
      <c r="B12" s="134" t="s">
        <v>1601</v>
      </c>
      <c r="C12" s="146" t="s">
        <v>2276</v>
      </c>
      <c r="D12" s="290" t="s">
        <v>1602</v>
      </c>
      <c r="E12" s="146" t="s">
        <v>1574</v>
      </c>
      <c r="F12" s="146" t="s">
        <v>1603</v>
      </c>
      <c r="G12" s="168">
        <v>13.52</v>
      </c>
      <c r="H12" s="146" t="s">
        <v>1599</v>
      </c>
      <c r="I12" s="146" t="s">
        <v>1604</v>
      </c>
      <c r="J12" s="169">
        <v>4.1452049999999999E-3</v>
      </c>
      <c r="K12" s="146" t="s">
        <v>1578</v>
      </c>
      <c r="L12" s="170" t="s">
        <v>1585</v>
      </c>
    </row>
    <row r="13" spans="2:12" x14ac:dyDescent="0.2">
      <c r="B13" s="134" t="s">
        <v>1605</v>
      </c>
      <c r="C13" s="146" t="s">
        <v>2277</v>
      </c>
      <c r="D13" s="290" t="s">
        <v>1606</v>
      </c>
      <c r="E13" s="146" t="s">
        <v>1574</v>
      </c>
      <c r="F13" s="146" t="s">
        <v>1607</v>
      </c>
      <c r="G13" s="168">
        <v>1E-3</v>
      </c>
      <c r="H13" s="146" t="s">
        <v>1608</v>
      </c>
      <c r="I13" s="146" t="s">
        <v>1609</v>
      </c>
      <c r="J13" s="169">
        <v>8.6735423000000006E-2</v>
      </c>
      <c r="K13" s="146" t="s">
        <v>1578</v>
      </c>
      <c r="L13" s="170" t="s">
        <v>1579</v>
      </c>
    </row>
    <row r="14" spans="2:12" x14ac:dyDescent="0.2">
      <c r="B14" s="134" t="s">
        <v>220</v>
      </c>
      <c r="C14" s="146" t="s">
        <v>219</v>
      </c>
      <c r="D14" s="290" t="s">
        <v>1611</v>
      </c>
      <c r="E14" s="146" t="s">
        <v>1574</v>
      </c>
      <c r="F14" s="146" t="s">
        <v>1612</v>
      </c>
      <c r="G14" s="168">
        <v>27.8</v>
      </c>
      <c r="H14" s="146" t="s">
        <v>1613</v>
      </c>
      <c r="I14" s="146" t="s">
        <v>1614</v>
      </c>
      <c r="J14" s="169">
        <v>1</v>
      </c>
      <c r="K14" s="146" t="s">
        <v>1578</v>
      </c>
      <c r="L14" s="170" t="s">
        <v>1579</v>
      </c>
    </row>
    <row r="15" spans="2:12" x14ac:dyDescent="0.2">
      <c r="B15" s="134" t="s">
        <v>241</v>
      </c>
      <c r="C15" s="146" t="s">
        <v>239</v>
      </c>
      <c r="D15" s="290" t="s">
        <v>1615</v>
      </c>
      <c r="E15" s="146" t="s">
        <v>1574</v>
      </c>
      <c r="F15" s="146" t="s">
        <v>1616</v>
      </c>
      <c r="G15" s="168">
        <v>24.6</v>
      </c>
      <c r="H15" s="146" t="s">
        <v>1617</v>
      </c>
      <c r="I15" s="146" t="s">
        <v>1618</v>
      </c>
      <c r="J15" s="169">
        <v>0.82060857300000001</v>
      </c>
      <c r="K15" s="146" t="s">
        <v>1591</v>
      </c>
      <c r="L15" s="170" t="s">
        <v>1579</v>
      </c>
    </row>
    <row r="16" spans="2:12" x14ac:dyDescent="0.2">
      <c r="B16" s="134" t="s">
        <v>1619</v>
      </c>
      <c r="C16" s="146" t="s">
        <v>2278</v>
      </c>
      <c r="D16" s="290" t="s">
        <v>2323</v>
      </c>
      <c r="E16" s="146" t="s">
        <v>1574</v>
      </c>
      <c r="F16" s="146" t="s">
        <v>1621</v>
      </c>
      <c r="G16" s="168">
        <v>24.6</v>
      </c>
      <c r="H16" s="146" t="s">
        <v>1622</v>
      </c>
      <c r="I16" s="146" t="s">
        <v>1623</v>
      </c>
      <c r="J16" s="169">
        <v>5.1635049999999997E-3</v>
      </c>
      <c r="K16" s="146" t="s">
        <v>1578</v>
      </c>
      <c r="L16" s="170" t="s">
        <v>1585</v>
      </c>
    </row>
    <row r="17" spans="2:12" x14ac:dyDescent="0.2">
      <c r="B17" s="134" t="s">
        <v>332</v>
      </c>
      <c r="C17" s="146" t="s">
        <v>330</v>
      </c>
      <c r="D17" s="290" t="s">
        <v>778</v>
      </c>
      <c r="E17" s="146" t="s">
        <v>1574</v>
      </c>
      <c r="F17" s="146" t="s">
        <v>1624</v>
      </c>
      <c r="G17" s="168">
        <v>19.71</v>
      </c>
      <c r="H17" s="146" t="s">
        <v>1625</v>
      </c>
      <c r="I17" s="146" t="s">
        <v>1626</v>
      </c>
      <c r="J17" s="169">
        <v>0.890947763</v>
      </c>
      <c r="K17" s="146" t="s">
        <v>1591</v>
      </c>
      <c r="L17" s="170" t="s">
        <v>1579</v>
      </c>
    </row>
    <row r="18" spans="2:12" x14ac:dyDescent="0.2">
      <c r="B18" s="134" t="s">
        <v>1627</v>
      </c>
      <c r="C18" s="146" t="s">
        <v>2279</v>
      </c>
      <c r="D18" s="290" t="s">
        <v>1628</v>
      </c>
      <c r="E18" s="146" t="s">
        <v>1574</v>
      </c>
      <c r="F18" s="146" t="s">
        <v>1629</v>
      </c>
      <c r="G18" s="168">
        <v>13.06</v>
      </c>
      <c r="H18" s="146" t="s">
        <v>1630</v>
      </c>
      <c r="I18" s="146" t="s">
        <v>1631</v>
      </c>
      <c r="J18" s="169">
        <v>1.335195E-2</v>
      </c>
      <c r="K18" s="146" t="s">
        <v>1578</v>
      </c>
      <c r="L18" s="170" t="s">
        <v>1579</v>
      </c>
    </row>
    <row r="19" spans="2:12" x14ac:dyDescent="0.2">
      <c r="B19" s="134" t="s">
        <v>1632</v>
      </c>
      <c r="C19" s="146" t="s">
        <v>2280</v>
      </c>
      <c r="D19" s="290" t="s">
        <v>1628</v>
      </c>
      <c r="E19" s="146" t="s">
        <v>1574</v>
      </c>
      <c r="F19" s="146" t="s">
        <v>1633</v>
      </c>
      <c r="G19" s="168">
        <v>0.109</v>
      </c>
      <c r="H19" s="146" t="s">
        <v>1630</v>
      </c>
      <c r="I19" s="146" t="s">
        <v>1631</v>
      </c>
      <c r="J19" s="169">
        <v>3.9756598999999997E-2</v>
      </c>
      <c r="K19" s="146" t="s">
        <v>1578</v>
      </c>
      <c r="L19" s="170" t="s">
        <v>1579</v>
      </c>
    </row>
    <row r="20" spans="2:12" x14ac:dyDescent="0.2">
      <c r="B20" s="134" t="s">
        <v>1634</v>
      </c>
      <c r="C20" s="146" t="s">
        <v>2281</v>
      </c>
      <c r="D20" s="290" t="s">
        <v>1635</v>
      </c>
      <c r="E20" s="146" t="s">
        <v>1636</v>
      </c>
      <c r="F20" s="146" t="s">
        <v>23</v>
      </c>
      <c r="G20" s="168">
        <v>23.2</v>
      </c>
      <c r="H20" s="146" t="s">
        <v>1637</v>
      </c>
      <c r="I20" s="146" t="s">
        <v>1638</v>
      </c>
      <c r="J20" s="169">
        <v>7.2506740000000004E-3</v>
      </c>
      <c r="K20" s="146" t="s">
        <v>1578</v>
      </c>
      <c r="L20" s="170" t="s">
        <v>1579</v>
      </c>
    </row>
    <row r="21" spans="2:12" x14ac:dyDescent="0.2">
      <c r="B21" s="134" t="s">
        <v>1639</v>
      </c>
      <c r="C21" s="146" t="s">
        <v>2282</v>
      </c>
      <c r="D21" s="290" t="s">
        <v>784</v>
      </c>
      <c r="E21" s="146" t="s">
        <v>1574</v>
      </c>
      <c r="F21" s="146" t="s">
        <v>1640</v>
      </c>
      <c r="G21" s="168">
        <v>1.1040000000000001</v>
      </c>
      <c r="H21" s="146" t="s">
        <v>1637</v>
      </c>
      <c r="I21" s="146" t="s">
        <v>1638</v>
      </c>
      <c r="J21" s="169">
        <v>1.0979318E-2</v>
      </c>
      <c r="K21" s="146" t="s">
        <v>1578</v>
      </c>
      <c r="L21" s="170" t="s">
        <v>1579</v>
      </c>
    </row>
    <row r="22" spans="2:12" x14ac:dyDescent="0.2">
      <c r="B22" s="134" t="s">
        <v>369</v>
      </c>
      <c r="C22" s="146" t="s">
        <v>367</v>
      </c>
      <c r="D22" s="290" t="s">
        <v>1641</v>
      </c>
      <c r="E22" s="146" t="s">
        <v>1574</v>
      </c>
      <c r="F22" s="146" t="s">
        <v>1642</v>
      </c>
      <c r="G22" s="168">
        <v>10.83</v>
      </c>
      <c r="H22" s="146" t="s">
        <v>1643</v>
      </c>
      <c r="I22" s="146" t="s">
        <v>1644</v>
      </c>
      <c r="J22" s="169">
        <v>0.42705958199999999</v>
      </c>
      <c r="K22" s="146" t="s">
        <v>1578</v>
      </c>
      <c r="L22" s="170" t="s">
        <v>1579</v>
      </c>
    </row>
    <row r="23" spans="2:12" x14ac:dyDescent="0.2">
      <c r="B23" s="134" t="s">
        <v>1645</v>
      </c>
      <c r="C23" s="146" t="s">
        <v>2283</v>
      </c>
      <c r="D23" s="290" t="s">
        <v>1646</v>
      </c>
      <c r="E23" s="146" t="s">
        <v>1574</v>
      </c>
      <c r="F23" s="146" t="s">
        <v>1647</v>
      </c>
      <c r="G23" s="168">
        <v>5.3680000000000003</v>
      </c>
      <c r="H23" s="146" t="s">
        <v>1648</v>
      </c>
      <c r="I23" s="146" t="s">
        <v>1649</v>
      </c>
      <c r="J23" s="169">
        <v>1.0394054E-2</v>
      </c>
      <c r="K23" s="146" t="s">
        <v>1578</v>
      </c>
      <c r="L23" s="170" t="s">
        <v>1579</v>
      </c>
    </row>
    <row r="24" spans="2:12" x14ac:dyDescent="0.2">
      <c r="B24" s="134" t="s">
        <v>419</v>
      </c>
      <c r="C24" s="146" t="s">
        <v>418</v>
      </c>
      <c r="D24" s="290" t="s">
        <v>789</v>
      </c>
      <c r="E24" s="146" t="s">
        <v>1574</v>
      </c>
      <c r="F24" s="146" t="s">
        <v>1650</v>
      </c>
      <c r="G24" s="168">
        <v>3.0329999999999999</v>
      </c>
      <c r="H24" s="146" t="s">
        <v>1648</v>
      </c>
      <c r="I24" s="146" t="s">
        <v>1649</v>
      </c>
      <c r="J24" s="169">
        <v>3.1592751000000002E-2</v>
      </c>
      <c r="K24" s="146" t="s">
        <v>1578</v>
      </c>
      <c r="L24" s="170" t="s">
        <v>1579</v>
      </c>
    </row>
    <row r="25" spans="2:12" x14ac:dyDescent="0.2">
      <c r="B25" s="134" t="s">
        <v>1651</v>
      </c>
      <c r="C25" s="146" t="s">
        <v>2284</v>
      </c>
      <c r="D25" s="290" t="s">
        <v>792</v>
      </c>
      <c r="E25" s="146" t="s">
        <v>1574</v>
      </c>
      <c r="F25" s="146" t="s">
        <v>1652</v>
      </c>
      <c r="G25" s="168">
        <v>16.260000000000002</v>
      </c>
      <c r="H25" s="146" t="s">
        <v>1648</v>
      </c>
      <c r="I25" s="146" t="s">
        <v>1649</v>
      </c>
      <c r="J25" s="169">
        <v>5.099821E-3</v>
      </c>
      <c r="K25" s="146" t="s">
        <v>1578</v>
      </c>
      <c r="L25" s="170" t="s">
        <v>1579</v>
      </c>
    </row>
    <row r="26" spans="2:12" x14ac:dyDescent="0.2">
      <c r="B26" s="134" t="s">
        <v>1653</v>
      </c>
      <c r="C26" s="146" t="s">
        <v>2285</v>
      </c>
      <c r="D26" s="290" t="s">
        <v>792</v>
      </c>
      <c r="E26" s="146" t="s">
        <v>1574</v>
      </c>
      <c r="F26" s="146" t="s">
        <v>1654</v>
      </c>
      <c r="G26" s="168">
        <v>2.9000000000000001E-2</v>
      </c>
      <c r="H26" s="146" t="s">
        <v>1648</v>
      </c>
      <c r="I26" s="146" t="s">
        <v>1649</v>
      </c>
      <c r="J26" s="169">
        <v>8.1308130000000006E-3</v>
      </c>
      <c r="K26" s="146" t="s">
        <v>1578</v>
      </c>
      <c r="L26" s="170" t="s">
        <v>1579</v>
      </c>
    </row>
    <row r="27" spans="2:12" x14ac:dyDescent="0.2">
      <c r="B27" s="134" t="s">
        <v>1655</v>
      </c>
      <c r="C27" s="146" t="s">
        <v>2286</v>
      </c>
      <c r="D27" s="290" t="s">
        <v>793</v>
      </c>
      <c r="E27" s="146" t="s">
        <v>1574</v>
      </c>
      <c r="F27" s="146" t="s">
        <v>1656</v>
      </c>
      <c r="G27" s="168">
        <v>0.13800000000000001</v>
      </c>
      <c r="H27" s="146" t="s">
        <v>1648</v>
      </c>
      <c r="I27" s="146" t="s">
        <v>1649</v>
      </c>
      <c r="J27" s="169">
        <v>1.0539487E-2</v>
      </c>
      <c r="K27" s="146" t="s">
        <v>1578</v>
      </c>
      <c r="L27" s="170" t="s">
        <v>1579</v>
      </c>
    </row>
    <row r="28" spans="2:12" x14ac:dyDescent="0.2">
      <c r="B28" s="134" t="s">
        <v>1657</v>
      </c>
      <c r="C28" s="146" t="s">
        <v>2287</v>
      </c>
      <c r="D28" s="290" t="s">
        <v>1658</v>
      </c>
      <c r="E28" s="146" t="s">
        <v>1574</v>
      </c>
      <c r="F28" s="146" t="s">
        <v>1659</v>
      </c>
      <c r="G28" s="168">
        <v>7.0259999999999998</v>
      </c>
      <c r="H28" s="146" t="s">
        <v>1660</v>
      </c>
      <c r="I28" s="146" t="s">
        <v>1661</v>
      </c>
      <c r="J28" s="169">
        <v>1.1100209999999999E-2</v>
      </c>
      <c r="K28" s="146" t="s">
        <v>1591</v>
      </c>
      <c r="L28" s="170" t="s">
        <v>1579</v>
      </c>
    </row>
    <row r="29" spans="2:12" x14ac:dyDescent="0.2">
      <c r="B29" s="134" t="s">
        <v>1662</v>
      </c>
      <c r="C29" s="146" t="s">
        <v>2288</v>
      </c>
      <c r="D29" s="290" t="s">
        <v>799</v>
      </c>
      <c r="E29" s="146" t="s">
        <v>1574</v>
      </c>
      <c r="F29" s="146" t="s">
        <v>1663</v>
      </c>
      <c r="G29" s="168">
        <v>25</v>
      </c>
      <c r="H29" s="146" t="s">
        <v>1664</v>
      </c>
      <c r="I29" s="146" t="s">
        <v>1665</v>
      </c>
      <c r="J29" s="169">
        <v>1.052135E-3</v>
      </c>
      <c r="K29" s="146" t="s">
        <v>1578</v>
      </c>
      <c r="L29" s="170" t="s">
        <v>1585</v>
      </c>
    </row>
    <row r="30" spans="2:12" x14ac:dyDescent="0.2">
      <c r="B30" s="134" t="s">
        <v>1666</v>
      </c>
      <c r="C30" s="146" t="s">
        <v>2289</v>
      </c>
      <c r="D30" s="290" t="s">
        <v>1667</v>
      </c>
      <c r="E30" s="146" t="s">
        <v>1574</v>
      </c>
      <c r="F30" s="146" t="s">
        <v>1668</v>
      </c>
      <c r="G30" s="168">
        <v>6.758</v>
      </c>
      <c r="H30" s="146" t="s">
        <v>1664</v>
      </c>
      <c r="I30" s="146" t="s">
        <v>1665</v>
      </c>
      <c r="J30" s="169">
        <v>1.0118799999999999E-4</v>
      </c>
      <c r="K30" s="146" t="s">
        <v>1578</v>
      </c>
      <c r="L30" s="170" t="s">
        <v>1585</v>
      </c>
    </row>
    <row r="31" spans="2:12" x14ac:dyDescent="0.2">
      <c r="B31" s="134" t="s">
        <v>1669</v>
      </c>
      <c r="C31" s="146" t="s">
        <v>2290</v>
      </c>
      <c r="D31" s="290" t="s">
        <v>1670</v>
      </c>
      <c r="E31" s="146" t="s">
        <v>1574</v>
      </c>
      <c r="F31" s="146" t="s">
        <v>1671</v>
      </c>
      <c r="G31" s="168">
        <v>3.1120000000000001</v>
      </c>
      <c r="H31" s="146" t="s">
        <v>1664</v>
      </c>
      <c r="I31" s="146" t="s">
        <v>1665</v>
      </c>
      <c r="J31" s="169">
        <v>9.8305000000000002E-5</v>
      </c>
      <c r="K31" s="146" t="s">
        <v>1578</v>
      </c>
      <c r="L31" s="170" t="s">
        <v>1585</v>
      </c>
    </row>
    <row r="32" spans="2:12" x14ac:dyDescent="0.2">
      <c r="B32" s="134" t="s">
        <v>1672</v>
      </c>
      <c r="C32" s="146" t="s">
        <v>2291</v>
      </c>
      <c r="D32" s="290" t="s">
        <v>1670</v>
      </c>
      <c r="E32" s="146" t="s">
        <v>1574</v>
      </c>
      <c r="F32" s="146" t="s">
        <v>1673</v>
      </c>
      <c r="G32" s="168">
        <v>1E-3</v>
      </c>
      <c r="H32" s="146" t="s">
        <v>1664</v>
      </c>
      <c r="I32" s="146" t="s">
        <v>1665</v>
      </c>
      <c r="J32" s="169">
        <v>7.9073999999999995E-5</v>
      </c>
      <c r="K32" s="146" t="s">
        <v>1578</v>
      </c>
      <c r="L32" s="170" t="s">
        <v>1585</v>
      </c>
    </row>
    <row r="33" spans="2:12" x14ac:dyDescent="0.2">
      <c r="B33" s="134" t="s">
        <v>1674</v>
      </c>
      <c r="C33" s="146" t="s">
        <v>2292</v>
      </c>
      <c r="D33" s="290" t="s">
        <v>1670</v>
      </c>
      <c r="E33" s="146" t="s">
        <v>1574</v>
      </c>
      <c r="F33" s="146" t="s">
        <v>1675</v>
      </c>
      <c r="G33" s="168">
        <v>0.23100000000000001</v>
      </c>
      <c r="H33" s="146" t="s">
        <v>1664</v>
      </c>
      <c r="I33" s="146" t="s">
        <v>1665</v>
      </c>
      <c r="J33" s="169">
        <v>7.9073999999999995E-5</v>
      </c>
      <c r="K33" s="146" t="s">
        <v>1578</v>
      </c>
      <c r="L33" s="170" t="s">
        <v>1585</v>
      </c>
    </row>
    <row r="34" spans="2:12" x14ac:dyDescent="0.2">
      <c r="B34" s="134" t="s">
        <v>1676</v>
      </c>
      <c r="C34" s="146" t="s">
        <v>2293</v>
      </c>
      <c r="D34" s="290" t="s">
        <v>1670</v>
      </c>
      <c r="E34" s="146" t="s">
        <v>1574</v>
      </c>
      <c r="F34" s="146" t="s">
        <v>1677</v>
      </c>
      <c r="G34" s="168">
        <v>4.0860000000000003</v>
      </c>
      <c r="H34" s="146" t="s">
        <v>1664</v>
      </c>
      <c r="I34" s="146" t="s">
        <v>1665</v>
      </c>
      <c r="J34" s="169">
        <v>7.9073999999999995E-5</v>
      </c>
      <c r="K34" s="146" t="s">
        <v>1578</v>
      </c>
      <c r="L34" s="170" t="s">
        <v>1585</v>
      </c>
    </row>
    <row r="35" spans="2:12" x14ac:dyDescent="0.2">
      <c r="B35" s="134" t="s">
        <v>1678</v>
      </c>
      <c r="C35" s="146" t="s">
        <v>2294</v>
      </c>
      <c r="D35" s="290" t="s">
        <v>1679</v>
      </c>
      <c r="E35" s="146" t="s">
        <v>1680</v>
      </c>
      <c r="F35" s="146" t="s">
        <v>1681</v>
      </c>
      <c r="G35" s="168">
        <v>5.1269999999999998</v>
      </c>
      <c r="H35" s="146" t="s">
        <v>1664</v>
      </c>
      <c r="I35" s="146" t="s">
        <v>1665</v>
      </c>
      <c r="J35" s="169">
        <v>9.4287E-5</v>
      </c>
      <c r="K35" s="146" t="s">
        <v>1578</v>
      </c>
      <c r="L35" s="170" t="s">
        <v>1585</v>
      </c>
    </row>
    <row r="36" spans="2:12" x14ac:dyDescent="0.2">
      <c r="B36" s="134" t="s">
        <v>1682</v>
      </c>
      <c r="C36" s="146" t="s">
        <v>2295</v>
      </c>
      <c r="D36" s="290" t="s">
        <v>1679</v>
      </c>
      <c r="E36" s="146" t="s">
        <v>1574</v>
      </c>
      <c r="F36" s="146" t="s">
        <v>1683</v>
      </c>
      <c r="G36" s="168">
        <v>11.57</v>
      </c>
      <c r="H36" s="146" t="s">
        <v>1664</v>
      </c>
      <c r="I36" s="146" t="s">
        <v>1665</v>
      </c>
      <c r="J36" s="169">
        <v>1.00667E-4</v>
      </c>
      <c r="K36" s="146" t="s">
        <v>1578</v>
      </c>
      <c r="L36" s="170" t="s">
        <v>1585</v>
      </c>
    </row>
    <row r="37" spans="2:12" x14ac:dyDescent="0.2">
      <c r="B37" s="134" t="s">
        <v>1684</v>
      </c>
      <c r="C37" s="146" t="s">
        <v>2296</v>
      </c>
      <c r="D37" s="290" t="s">
        <v>1679</v>
      </c>
      <c r="E37" s="146" t="s">
        <v>1574</v>
      </c>
      <c r="F37" s="146" t="s">
        <v>1685</v>
      </c>
      <c r="G37" s="168">
        <v>7.2290000000000001</v>
      </c>
      <c r="H37" s="146" t="s">
        <v>1664</v>
      </c>
      <c r="I37" s="146" t="s">
        <v>1665</v>
      </c>
      <c r="J37" s="169">
        <v>1.00195E-4</v>
      </c>
      <c r="K37" s="146" t="s">
        <v>1578</v>
      </c>
      <c r="L37" s="170" t="s">
        <v>1585</v>
      </c>
    </row>
    <row r="38" spans="2:12" x14ac:dyDescent="0.2">
      <c r="B38" s="134" t="s">
        <v>1686</v>
      </c>
      <c r="C38" s="146" t="s">
        <v>2297</v>
      </c>
      <c r="D38" s="290" t="s">
        <v>1679</v>
      </c>
      <c r="E38" s="146" t="s">
        <v>1574</v>
      </c>
      <c r="F38" s="146" t="s">
        <v>1687</v>
      </c>
      <c r="G38" s="168">
        <v>8.5999999999999993E-2</v>
      </c>
      <c r="H38" s="146" t="s">
        <v>1664</v>
      </c>
      <c r="I38" s="146" t="s">
        <v>1665</v>
      </c>
      <c r="J38" s="169">
        <v>8.6947000000000006E-5</v>
      </c>
      <c r="K38" s="146" t="s">
        <v>1578</v>
      </c>
      <c r="L38" s="170" t="s">
        <v>1585</v>
      </c>
    </row>
    <row r="39" spans="2:12" x14ac:dyDescent="0.2">
      <c r="B39" s="134" t="s">
        <v>1688</v>
      </c>
      <c r="C39" s="146" t="s">
        <v>2298</v>
      </c>
      <c r="D39" s="290" t="s">
        <v>1679</v>
      </c>
      <c r="E39" s="146" t="s">
        <v>1574</v>
      </c>
      <c r="F39" s="146" t="s">
        <v>1689</v>
      </c>
      <c r="G39" s="168">
        <v>18.95</v>
      </c>
      <c r="H39" s="146" t="s">
        <v>1664</v>
      </c>
      <c r="I39" s="146" t="s">
        <v>1665</v>
      </c>
      <c r="J39" s="169">
        <v>8.1527999999999996E-5</v>
      </c>
      <c r="K39" s="146" t="s">
        <v>1578</v>
      </c>
      <c r="L39" s="170" t="s">
        <v>1585</v>
      </c>
    </row>
    <row r="40" spans="2:12" x14ac:dyDescent="0.2">
      <c r="B40" s="134" t="s">
        <v>1690</v>
      </c>
      <c r="C40" s="146" t="s">
        <v>2299</v>
      </c>
      <c r="D40" s="290" t="s">
        <v>1691</v>
      </c>
      <c r="E40" s="146" t="s">
        <v>1574</v>
      </c>
      <c r="F40" s="146" t="s">
        <v>1692</v>
      </c>
      <c r="G40" s="168">
        <v>5.0000000000000001E-3</v>
      </c>
      <c r="H40" s="146" t="s">
        <v>1664</v>
      </c>
      <c r="I40" s="146" t="s">
        <v>1665</v>
      </c>
      <c r="J40" s="169">
        <v>8.1488000000000003E-5</v>
      </c>
      <c r="K40" s="146" t="s">
        <v>1578</v>
      </c>
      <c r="L40" s="170" t="s">
        <v>1585</v>
      </c>
    </row>
    <row r="41" spans="2:12" x14ac:dyDescent="0.2">
      <c r="B41" s="134" t="s">
        <v>1693</v>
      </c>
      <c r="C41" s="146" t="s">
        <v>2300</v>
      </c>
      <c r="D41" s="290" t="s">
        <v>1694</v>
      </c>
      <c r="E41" s="146" t="s">
        <v>1574</v>
      </c>
      <c r="F41" s="146" t="s">
        <v>1695</v>
      </c>
      <c r="G41" s="168">
        <v>14.04</v>
      </c>
      <c r="H41" s="146" t="s">
        <v>1664</v>
      </c>
      <c r="I41" s="146" t="s">
        <v>1665</v>
      </c>
      <c r="J41" s="169">
        <v>1.00603E-4</v>
      </c>
      <c r="K41" s="146" t="s">
        <v>1578</v>
      </c>
      <c r="L41" s="170" t="s">
        <v>1585</v>
      </c>
    </row>
    <row r="42" spans="2:12" x14ac:dyDescent="0.2">
      <c r="B42" s="134" t="s">
        <v>1696</v>
      </c>
      <c r="C42" s="146" t="s">
        <v>2301</v>
      </c>
      <c r="D42" s="290" t="s">
        <v>1694</v>
      </c>
      <c r="E42" s="146" t="s">
        <v>1574</v>
      </c>
      <c r="F42" s="146" t="s">
        <v>1697</v>
      </c>
      <c r="G42" s="168">
        <v>20.2</v>
      </c>
      <c r="H42" s="146" t="s">
        <v>1664</v>
      </c>
      <c r="I42" s="146" t="s">
        <v>1665</v>
      </c>
      <c r="J42" s="169">
        <v>9.3845999999999996E-5</v>
      </c>
      <c r="K42" s="146" t="s">
        <v>1578</v>
      </c>
      <c r="L42" s="170" t="s">
        <v>1585</v>
      </c>
    </row>
    <row r="43" spans="2:12" x14ac:dyDescent="0.2">
      <c r="B43" s="134" t="s">
        <v>1698</v>
      </c>
      <c r="C43" s="146" t="s">
        <v>2302</v>
      </c>
      <c r="D43" s="290" t="s">
        <v>803</v>
      </c>
      <c r="E43" s="146" t="s">
        <v>1574</v>
      </c>
      <c r="F43" s="146" t="s">
        <v>1699</v>
      </c>
      <c r="G43" s="168">
        <v>18.66</v>
      </c>
      <c r="H43" s="146" t="s">
        <v>1700</v>
      </c>
      <c r="I43" s="146" t="s">
        <v>1701</v>
      </c>
      <c r="J43" s="169">
        <v>0.109116028</v>
      </c>
      <c r="K43" s="146" t="s">
        <v>1578</v>
      </c>
      <c r="L43" s="170" t="s">
        <v>1579</v>
      </c>
    </row>
    <row r="44" spans="2:12" x14ac:dyDescent="0.2">
      <c r="B44" s="134" t="s">
        <v>1702</v>
      </c>
      <c r="C44" s="146" t="s">
        <v>2303</v>
      </c>
      <c r="D44" s="290" t="s">
        <v>1703</v>
      </c>
      <c r="E44" s="146" t="s">
        <v>1574</v>
      </c>
      <c r="F44" s="146" t="s">
        <v>1704</v>
      </c>
      <c r="G44" s="168">
        <v>21.8</v>
      </c>
      <c r="H44" s="146" t="s">
        <v>1705</v>
      </c>
      <c r="I44" s="146" t="s">
        <v>1706</v>
      </c>
      <c r="J44" s="169">
        <v>0.29178430900000002</v>
      </c>
      <c r="K44" s="146" t="s">
        <v>1591</v>
      </c>
      <c r="L44" s="170" t="s">
        <v>1579</v>
      </c>
    </row>
    <row r="45" spans="2:12" x14ac:dyDescent="0.2">
      <c r="B45" s="134" t="s">
        <v>473</v>
      </c>
      <c r="C45" s="146" t="s">
        <v>471</v>
      </c>
      <c r="D45" s="290" t="s">
        <v>1707</v>
      </c>
      <c r="E45" s="146" t="s">
        <v>1680</v>
      </c>
      <c r="F45" s="146" t="s">
        <v>1708</v>
      </c>
      <c r="G45" s="168">
        <v>41</v>
      </c>
      <c r="H45" s="146" t="s">
        <v>1705</v>
      </c>
      <c r="I45" s="146" t="s">
        <v>1706</v>
      </c>
      <c r="J45" s="169">
        <v>0.69772606800000003</v>
      </c>
      <c r="K45" s="146" t="s">
        <v>1591</v>
      </c>
      <c r="L45" s="170" t="s">
        <v>1579</v>
      </c>
    </row>
    <row r="46" spans="2:12" x14ac:dyDescent="0.2">
      <c r="B46" s="134" t="s">
        <v>476</v>
      </c>
      <c r="C46" s="146" t="s">
        <v>474</v>
      </c>
      <c r="D46" s="290" t="s">
        <v>807</v>
      </c>
      <c r="E46" s="146" t="s">
        <v>1574</v>
      </c>
      <c r="F46" s="146" t="s">
        <v>1709</v>
      </c>
      <c r="G46" s="168">
        <v>25.2</v>
      </c>
      <c r="H46" s="146" t="s">
        <v>1710</v>
      </c>
      <c r="I46" s="146" t="s">
        <v>1711</v>
      </c>
      <c r="J46" s="169">
        <v>1</v>
      </c>
      <c r="K46" s="146" t="s">
        <v>1578</v>
      </c>
      <c r="L46" s="170" t="s">
        <v>1579</v>
      </c>
    </row>
    <row r="47" spans="2:12" x14ac:dyDescent="0.2">
      <c r="B47" s="134" t="s">
        <v>479</v>
      </c>
      <c r="C47" s="146" t="s">
        <v>478</v>
      </c>
      <c r="D47" s="290" t="s">
        <v>807</v>
      </c>
      <c r="E47" s="146" t="s">
        <v>1574</v>
      </c>
      <c r="F47" s="146" t="s">
        <v>1712</v>
      </c>
      <c r="G47" s="168">
        <v>31</v>
      </c>
      <c r="H47" s="146" t="s">
        <v>1710</v>
      </c>
      <c r="I47" s="146" t="s">
        <v>1713</v>
      </c>
      <c r="J47" s="169">
        <v>0.99996682999999997</v>
      </c>
      <c r="K47" s="146" t="s">
        <v>1578</v>
      </c>
      <c r="L47" s="170" t="s">
        <v>1585</v>
      </c>
    </row>
    <row r="48" spans="2:12" x14ac:dyDescent="0.2">
      <c r="B48" s="134" t="s">
        <v>1714</v>
      </c>
      <c r="C48" s="146" t="s">
        <v>2304</v>
      </c>
      <c r="D48" s="290" t="s">
        <v>1715</v>
      </c>
      <c r="E48" s="146" t="s">
        <v>1574</v>
      </c>
      <c r="F48" s="146" t="s">
        <v>1716</v>
      </c>
      <c r="G48" s="168">
        <v>0.80400000000000005</v>
      </c>
      <c r="H48" s="146" t="s">
        <v>1710</v>
      </c>
      <c r="I48" s="146" t="s">
        <v>1717</v>
      </c>
      <c r="J48" s="169">
        <v>1.2957399E-2</v>
      </c>
      <c r="K48" s="146" t="s">
        <v>1578</v>
      </c>
      <c r="L48" s="170" t="s">
        <v>1585</v>
      </c>
    </row>
    <row r="49" spans="2:12" x14ac:dyDescent="0.2">
      <c r="B49" s="134" t="s">
        <v>1718</v>
      </c>
      <c r="C49" s="146" t="s">
        <v>2305</v>
      </c>
      <c r="D49" s="290" t="s">
        <v>809</v>
      </c>
      <c r="E49" s="146" t="s">
        <v>1574</v>
      </c>
      <c r="F49" s="146" t="s">
        <v>1719</v>
      </c>
      <c r="G49" s="168">
        <v>16.04</v>
      </c>
      <c r="H49" s="146" t="s">
        <v>1710</v>
      </c>
      <c r="I49" s="146" t="s">
        <v>1717</v>
      </c>
      <c r="J49" s="169">
        <v>1.447598E-3</v>
      </c>
      <c r="K49" s="146" t="s">
        <v>1578</v>
      </c>
      <c r="L49" s="170" t="s">
        <v>1585</v>
      </c>
    </row>
    <row r="50" spans="2:12" x14ac:dyDescent="0.2">
      <c r="B50" s="134" t="s">
        <v>1720</v>
      </c>
      <c r="C50" s="146" t="s">
        <v>2306</v>
      </c>
      <c r="D50" s="290" t="s">
        <v>1721</v>
      </c>
      <c r="E50" s="146" t="s">
        <v>1574</v>
      </c>
      <c r="F50" s="146" t="s">
        <v>1722</v>
      </c>
      <c r="G50" s="168">
        <v>0.58199999999999996</v>
      </c>
      <c r="H50" s="146" t="s">
        <v>1710</v>
      </c>
      <c r="I50" s="146" t="s">
        <v>1717</v>
      </c>
      <c r="J50" s="169">
        <v>6.1166379999999998E-3</v>
      </c>
      <c r="K50" s="146" t="s">
        <v>1578</v>
      </c>
      <c r="L50" s="170" t="s">
        <v>1585</v>
      </c>
    </row>
    <row r="51" spans="2:12" x14ac:dyDescent="0.2">
      <c r="B51" s="134" t="s">
        <v>1723</v>
      </c>
      <c r="C51" s="146" t="s">
        <v>2307</v>
      </c>
      <c r="D51" s="290" t="s">
        <v>815</v>
      </c>
      <c r="E51" s="146" t="s">
        <v>1574</v>
      </c>
      <c r="F51" s="146" t="s">
        <v>1724</v>
      </c>
      <c r="G51" s="168">
        <v>17.190000000000001</v>
      </c>
      <c r="H51" s="146" t="s">
        <v>1725</v>
      </c>
      <c r="I51" s="146" t="s">
        <v>1726</v>
      </c>
      <c r="J51" s="169">
        <v>1.1214273E-2</v>
      </c>
      <c r="K51" s="146" t="s">
        <v>1591</v>
      </c>
      <c r="L51" s="170" t="s">
        <v>1579</v>
      </c>
    </row>
    <row r="52" spans="2:12" x14ac:dyDescent="0.2">
      <c r="B52" s="134" t="s">
        <v>1727</v>
      </c>
      <c r="C52" s="146" t="s">
        <v>2308</v>
      </c>
      <c r="D52" s="290" t="s">
        <v>818</v>
      </c>
      <c r="E52" s="146" t="s">
        <v>1680</v>
      </c>
      <c r="F52" s="146" t="s">
        <v>1728</v>
      </c>
      <c r="G52" s="168">
        <v>48</v>
      </c>
      <c r="H52" s="146" t="s">
        <v>1729</v>
      </c>
      <c r="I52" s="146" t="s">
        <v>1730</v>
      </c>
      <c r="J52" s="169">
        <v>1.5880023E-2</v>
      </c>
      <c r="K52" s="146" t="s">
        <v>1578</v>
      </c>
      <c r="L52" s="170" t="s">
        <v>1579</v>
      </c>
    </row>
    <row r="53" spans="2:12" x14ac:dyDescent="0.2">
      <c r="B53" s="135" t="s">
        <v>1731</v>
      </c>
      <c r="C53" s="171" t="s">
        <v>2309</v>
      </c>
      <c r="D53" s="291" t="s">
        <v>818</v>
      </c>
      <c r="E53" s="171" t="s">
        <v>1574</v>
      </c>
      <c r="F53" s="171" t="s">
        <v>1732</v>
      </c>
      <c r="G53" s="172">
        <v>22.4</v>
      </c>
      <c r="H53" s="171" t="s">
        <v>1729</v>
      </c>
      <c r="I53" s="171" t="s">
        <v>1730</v>
      </c>
      <c r="J53" s="173">
        <v>4.3544819999999998E-3</v>
      </c>
      <c r="K53" s="171" t="s">
        <v>1578</v>
      </c>
      <c r="L53" s="174" t="s">
        <v>1579</v>
      </c>
    </row>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E208-8585-BF42-8106-746479E55B3D}">
  <dimension ref="B2:K16"/>
  <sheetViews>
    <sheetView zoomScaleNormal="100" workbookViewId="0"/>
  </sheetViews>
  <sheetFormatPr baseColWidth="10" defaultColWidth="11" defaultRowHeight="16" x14ac:dyDescent="0.2"/>
  <cols>
    <col min="1" max="1" width="4" customWidth="1"/>
    <col min="2" max="2" width="21.6640625" customWidth="1"/>
    <col min="4" max="11" width="12.83203125" customWidth="1"/>
  </cols>
  <sheetData>
    <row r="2" spans="2:11" x14ac:dyDescent="0.2">
      <c r="B2" s="25" t="s">
        <v>2913</v>
      </c>
    </row>
    <row r="3" spans="2:11" x14ac:dyDescent="0.2">
      <c r="B3" s="181" t="s">
        <v>1807</v>
      </c>
    </row>
    <row r="4" spans="2:11" ht="19" x14ac:dyDescent="0.2">
      <c r="B4" s="181" t="s">
        <v>1812</v>
      </c>
    </row>
    <row r="5" spans="2:11" ht="19" x14ac:dyDescent="0.2">
      <c r="B5" s="181" t="s">
        <v>2802</v>
      </c>
    </row>
    <row r="6" spans="2:11" ht="19" x14ac:dyDescent="0.2">
      <c r="B6" s="181" t="s">
        <v>2803</v>
      </c>
    </row>
    <row r="8" spans="2:11" ht="19" x14ac:dyDescent="0.2">
      <c r="B8" s="553" t="s">
        <v>1798</v>
      </c>
      <c r="C8" s="563" t="s">
        <v>1797</v>
      </c>
      <c r="D8" s="553" t="s">
        <v>1809</v>
      </c>
      <c r="E8" s="563"/>
      <c r="F8" s="563"/>
      <c r="G8" s="568"/>
      <c r="H8" s="565" t="s">
        <v>1808</v>
      </c>
      <c r="I8" s="566"/>
      <c r="J8" s="566"/>
      <c r="K8" s="567"/>
    </row>
    <row r="9" spans="2:11" ht="19" x14ac:dyDescent="0.2">
      <c r="B9" s="550"/>
      <c r="C9" s="564"/>
      <c r="D9" s="140" t="s">
        <v>1805</v>
      </c>
      <c r="E9" s="40" t="s">
        <v>1806</v>
      </c>
      <c r="F9" s="40" t="s">
        <v>1810</v>
      </c>
      <c r="G9" s="153" t="s">
        <v>1811</v>
      </c>
      <c r="H9" s="140" t="s">
        <v>1805</v>
      </c>
      <c r="I9" s="40" t="s">
        <v>1806</v>
      </c>
      <c r="J9" s="40" t="s">
        <v>1810</v>
      </c>
      <c r="K9" s="153" t="s">
        <v>1811</v>
      </c>
    </row>
    <row r="10" spans="2:11" x14ac:dyDescent="0.2">
      <c r="B10" s="139">
        <v>1</v>
      </c>
      <c r="C10" s="146">
        <v>22</v>
      </c>
      <c r="D10" s="243">
        <v>0.527272727272727</v>
      </c>
      <c r="E10" s="163">
        <v>0.56499999999999995</v>
      </c>
      <c r="F10" s="163">
        <v>1.0801437094862899E-2</v>
      </c>
      <c r="G10" s="254">
        <v>7.5610059664040399E-2</v>
      </c>
      <c r="H10" s="243">
        <v>0.283640909090909</v>
      </c>
      <c r="I10" s="163">
        <v>0.24345</v>
      </c>
      <c r="J10" s="163">
        <v>6.4282940964062703E-3</v>
      </c>
      <c r="K10" s="254">
        <v>4.4998058674843897E-2</v>
      </c>
    </row>
    <row r="11" spans="2:11" x14ac:dyDescent="0.2">
      <c r="B11" s="252" t="s">
        <v>1802</v>
      </c>
      <c r="C11" s="146">
        <v>79</v>
      </c>
      <c r="D11" s="243">
        <v>0.490759493670886</v>
      </c>
      <c r="E11" s="163">
        <v>0.48</v>
      </c>
      <c r="F11" s="151">
        <v>1.26291120315501E-4</v>
      </c>
      <c r="G11" s="254">
        <v>8.8403784220850601E-4</v>
      </c>
      <c r="H11" s="243">
        <v>0.27706202531645602</v>
      </c>
      <c r="I11" s="163">
        <v>0.26200000000000001</v>
      </c>
      <c r="J11" s="151">
        <v>2.9654490428540498E-7</v>
      </c>
      <c r="K11" s="152">
        <v>2.0758143299978301E-6</v>
      </c>
    </row>
    <row r="12" spans="2:11" x14ac:dyDescent="0.2">
      <c r="B12" s="252" t="s">
        <v>1803</v>
      </c>
      <c r="C12" s="146">
        <v>154</v>
      </c>
      <c r="D12" s="243">
        <v>0.38551948051948098</v>
      </c>
      <c r="E12" s="163">
        <v>0.36</v>
      </c>
      <c r="F12" s="163">
        <v>0.94454596505288002</v>
      </c>
      <c r="G12" s="32">
        <v>1</v>
      </c>
      <c r="H12" s="243">
        <v>0.19619870129870101</v>
      </c>
      <c r="I12" s="163">
        <v>0.15909999999999999</v>
      </c>
      <c r="J12" s="163">
        <v>0.45711952242346598</v>
      </c>
      <c r="K12" s="32">
        <v>1</v>
      </c>
    </row>
    <row r="13" spans="2:11" x14ac:dyDescent="0.2">
      <c r="B13" s="253" t="s">
        <v>1804</v>
      </c>
      <c r="C13" s="146">
        <v>490</v>
      </c>
      <c r="D13" s="243">
        <v>0.37732653061224503</v>
      </c>
      <c r="E13" s="163">
        <v>0.34</v>
      </c>
      <c r="F13" s="163">
        <v>0.41188634430228899</v>
      </c>
      <c r="G13" s="32">
        <v>1</v>
      </c>
      <c r="H13" s="243">
        <v>0.192182040816327</v>
      </c>
      <c r="I13" s="163">
        <v>0.1542</v>
      </c>
      <c r="J13" s="163">
        <v>0.94342368781518604</v>
      </c>
      <c r="K13" s="32">
        <v>1</v>
      </c>
    </row>
    <row r="14" spans="2:11" x14ac:dyDescent="0.2">
      <c r="B14" s="139" t="s">
        <v>1799</v>
      </c>
      <c r="C14" s="146">
        <v>1647</v>
      </c>
      <c r="D14" s="243">
        <v>0.40353369763205799</v>
      </c>
      <c r="E14" s="163">
        <v>0.4</v>
      </c>
      <c r="F14" s="151">
        <v>3.9019366163971601E-5</v>
      </c>
      <c r="G14" s="152">
        <v>2.7313556314780099E-4</v>
      </c>
      <c r="H14" s="243">
        <v>0.20456010928961699</v>
      </c>
      <c r="I14" s="163">
        <v>0.16389999999999999</v>
      </c>
      <c r="J14" s="151">
        <v>2.7403582200497999E-7</v>
      </c>
      <c r="K14" s="152">
        <v>1.9182507540348598E-6</v>
      </c>
    </row>
    <row r="15" spans="2:11" x14ac:dyDescent="0.2">
      <c r="B15" s="139" t="s">
        <v>1800</v>
      </c>
      <c r="C15" s="146">
        <v>845</v>
      </c>
      <c r="D15" s="243">
        <v>0.34248520710059199</v>
      </c>
      <c r="E15" s="163">
        <v>0.31</v>
      </c>
      <c r="F15" s="151">
        <v>4.60922008898241E-9</v>
      </c>
      <c r="G15" s="152">
        <v>3.2264540622876799E-8</v>
      </c>
      <c r="H15" s="243">
        <v>0.16378674556212999</v>
      </c>
      <c r="I15" s="163">
        <v>0.1211</v>
      </c>
      <c r="J15" s="151">
        <v>1.9330471104354699E-11</v>
      </c>
      <c r="K15" s="152">
        <v>1.35313297730483E-10</v>
      </c>
    </row>
    <row r="16" spans="2:11" x14ac:dyDescent="0.2">
      <c r="B16" s="140" t="s">
        <v>1801</v>
      </c>
      <c r="C16" s="171">
        <v>1865</v>
      </c>
      <c r="D16" s="244">
        <v>0.38297050938337801</v>
      </c>
      <c r="E16" s="164">
        <v>0.36</v>
      </c>
      <c r="F16" s="164">
        <v>0.74762771351364399</v>
      </c>
      <c r="G16" s="153">
        <v>1</v>
      </c>
      <c r="H16" s="244">
        <v>0.17531292225201101</v>
      </c>
      <c r="I16" s="164">
        <v>0.151</v>
      </c>
      <c r="J16" s="164">
        <v>8.6148994789748301E-2</v>
      </c>
      <c r="K16" s="255">
        <v>0.60304296352823805</v>
      </c>
    </row>
  </sheetData>
  <mergeCells count="4">
    <mergeCell ref="B8:B9"/>
    <mergeCell ref="C8:C9"/>
    <mergeCell ref="H8:K8"/>
    <mergeCell ref="D8:G8"/>
  </mergeCells>
  <pageMargins left="0.7" right="0.7" top="0.75" bottom="0.75" header="0.3" footer="0.3"/>
  <ignoredErrors>
    <ignoredError sqref="B13" twoDigitTextYear="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17B6-5B85-A54A-955E-DEA4B8E650B7}">
  <dimension ref="B2:T24"/>
  <sheetViews>
    <sheetView workbookViewId="0"/>
  </sheetViews>
  <sheetFormatPr baseColWidth="10" defaultColWidth="11" defaultRowHeight="16" x14ac:dyDescent="0.2"/>
  <cols>
    <col min="1" max="1" width="4" customWidth="1"/>
    <col min="2" max="2" width="8.33203125" customWidth="1"/>
    <col min="3" max="3" width="26.33203125" customWidth="1"/>
    <col min="4" max="4" width="14.33203125" customWidth="1"/>
    <col min="5" max="6" width="16.83203125" customWidth="1"/>
    <col min="7" max="7" width="14.6640625" customWidth="1"/>
    <col min="8" max="8" width="10.33203125" customWidth="1"/>
    <col min="9" max="11" width="14.6640625" customWidth="1"/>
    <col min="12" max="12" width="13.1640625" customWidth="1"/>
    <col min="13" max="15" width="19.6640625" customWidth="1"/>
    <col min="16" max="16" width="29.5" customWidth="1"/>
    <col min="17" max="20" width="16.6640625" customWidth="1"/>
  </cols>
  <sheetData>
    <row r="2" spans="2:20" x14ac:dyDescent="0.2">
      <c r="B2" s="25" t="s">
        <v>2914</v>
      </c>
      <c r="C2" s="25"/>
    </row>
    <row r="3" spans="2:20" x14ac:dyDescent="0.2">
      <c r="B3" s="181" t="s">
        <v>1855</v>
      </c>
      <c r="C3" s="181"/>
    </row>
    <row r="4" spans="2:20" ht="19" x14ac:dyDescent="0.2">
      <c r="B4" s="181" t="s">
        <v>2934</v>
      </c>
      <c r="C4" s="181"/>
    </row>
    <row r="5" spans="2:20" ht="19" x14ac:dyDescent="0.2">
      <c r="B5" s="181" t="s">
        <v>2359</v>
      </c>
      <c r="C5" s="181"/>
    </row>
    <row r="6" spans="2:20" ht="19" x14ac:dyDescent="0.2">
      <c r="B6" s="181" t="s">
        <v>2360</v>
      </c>
      <c r="C6" s="181"/>
    </row>
    <row r="7" spans="2:20" ht="19" x14ac:dyDescent="0.2">
      <c r="B7" s="181" t="s">
        <v>2361</v>
      </c>
      <c r="C7" s="181"/>
    </row>
    <row r="8" spans="2:20" x14ac:dyDescent="0.2">
      <c r="B8" t="s">
        <v>2339</v>
      </c>
    </row>
    <row r="10" spans="2:20" ht="71" x14ac:dyDescent="0.2">
      <c r="B10" s="264" t="s">
        <v>2351</v>
      </c>
      <c r="C10" s="262" t="s">
        <v>1846</v>
      </c>
      <c r="D10" s="262" t="s">
        <v>1847</v>
      </c>
      <c r="E10" s="262" t="s">
        <v>1848</v>
      </c>
      <c r="F10" s="263" t="s">
        <v>8</v>
      </c>
      <c r="G10" s="372" t="s">
        <v>2352</v>
      </c>
      <c r="H10" s="263" t="s">
        <v>1798</v>
      </c>
      <c r="I10" s="261" t="s">
        <v>1849</v>
      </c>
      <c r="J10" s="262" t="s">
        <v>1850</v>
      </c>
      <c r="K10" s="262" t="s">
        <v>1851</v>
      </c>
      <c r="L10" s="263" t="s">
        <v>1852</v>
      </c>
      <c r="M10" s="262" t="s">
        <v>1853</v>
      </c>
      <c r="N10" s="262" t="s">
        <v>1856</v>
      </c>
      <c r="O10" s="262" t="s">
        <v>2353</v>
      </c>
      <c r="P10" s="261" t="s">
        <v>2354</v>
      </c>
      <c r="Q10" s="262" t="s">
        <v>2355</v>
      </c>
      <c r="R10" s="262" t="s">
        <v>2356</v>
      </c>
      <c r="S10" s="262" t="s">
        <v>2357</v>
      </c>
      <c r="T10" s="263" t="s">
        <v>2358</v>
      </c>
    </row>
    <row r="11" spans="2:20" ht="17" x14ac:dyDescent="0.2">
      <c r="B11" s="256">
        <v>16</v>
      </c>
      <c r="C11" s="257" t="s">
        <v>1813</v>
      </c>
      <c r="D11" s="257" t="s">
        <v>1814</v>
      </c>
      <c r="E11" s="257" t="s">
        <v>103</v>
      </c>
      <c r="F11" s="259" t="s">
        <v>102</v>
      </c>
      <c r="G11" s="258">
        <v>0.55675502600000004</v>
      </c>
      <c r="H11" s="259">
        <v>2</v>
      </c>
      <c r="I11" s="265">
        <v>0.79</v>
      </c>
      <c r="J11" s="258">
        <v>0.63249999999999995</v>
      </c>
      <c r="K11" s="258">
        <v>0.2336</v>
      </c>
      <c r="L11" s="266">
        <v>0.840425531914894</v>
      </c>
      <c r="M11" s="257" t="s">
        <v>1815</v>
      </c>
      <c r="N11" s="257">
        <v>0.15</v>
      </c>
      <c r="O11" s="258">
        <v>0.40730640699999998</v>
      </c>
      <c r="P11" s="256" t="s">
        <v>1816</v>
      </c>
      <c r="Q11" s="257">
        <v>7</v>
      </c>
      <c r="R11" s="257">
        <v>0</v>
      </c>
      <c r="S11" s="257">
        <v>0</v>
      </c>
      <c r="T11" s="259">
        <v>50</v>
      </c>
    </row>
    <row r="12" spans="2:20" ht="17" x14ac:dyDescent="0.2">
      <c r="B12" s="256">
        <v>28</v>
      </c>
      <c r="C12" s="257" t="s">
        <v>1817</v>
      </c>
      <c r="D12" s="257" t="s">
        <v>1818</v>
      </c>
      <c r="E12" s="257" t="s">
        <v>145</v>
      </c>
      <c r="F12" s="259" t="s">
        <v>143</v>
      </c>
      <c r="G12" s="373">
        <v>0.99971858000000002</v>
      </c>
      <c r="H12" s="259">
        <v>1</v>
      </c>
      <c r="I12" s="265">
        <v>0.82</v>
      </c>
      <c r="J12" s="258">
        <v>0.60640000000000005</v>
      </c>
      <c r="K12" s="258">
        <v>0.2424</v>
      </c>
      <c r="L12" s="266">
        <v>1</v>
      </c>
      <c r="M12" s="257" t="s">
        <v>1854</v>
      </c>
      <c r="N12" s="257" t="s">
        <v>1854</v>
      </c>
      <c r="O12" s="258" t="s">
        <v>1854</v>
      </c>
      <c r="P12" s="256" t="s">
        <v>1816</v>
      </c>
      <c r="Q12" s="257">
        <v>24</v>
      </c>
      <c r="R12" s="257">
        <v>0</v>
      </c>
      <c r="S12" s="257">
        <v>3</v>
      </c>
      <c r="T12" s="259">
        <v>42</v>
      </c>
    </row>
    <row r="13" spans="2:20" ht="34" x14ac:dyDescent="0.2">
      <c r="B13" s="256">
        <v>38</v>
      </c>
      <c r="C13" s="257" t="s">
        <v>1819</v>
      </c>
      <c r="D13" s="257" t="s">
        <v>1820</v>
      </c>
      <c r="E13" s="257" t="s">
        <v>1821</v>
      </c>
      <c r="F13" s="259" t="s">
        <v>1935</v>
      </c>
      <c r="G13" s="258">
        <v>9.6686027999999993E-2</v>
      </c>
      <c r="H13" s="259">
        <v>2</v>
      </c>
      <c r="I13" s="265">
        <v>0.91</v>
      </c>
      <c r="J13" s="258">
        <v>0.62949999999999995</v>
      </c>
      <c r="K13" s="258">
        <v>0.62949999999999995</v>
      </c>
      <c r="L13" s="266">
        <v>0.689393939393939</v>
      </c>
      <c r="M13" s="257" t="s">
        <v>197</v>
      </c>
      <c r="N13" s="257">
        <v>0.41</v>
      </c>
      <c r="O13" s="258">
        <v>0.90328556000000004</v>
      </c>
      <c r="P13" s="256" t="s">
        <v>1822</v>
      </c>
      <c r="Q13" s="257">
        <v>5</v>
      </c>
      <c r="R13" s="257">
        <v>4</v>
      </c>
      <c r="S13" s="257">
        <v>5</v>
      </c>
      <c r="T13" s="259">
        <v>4</v>
      </c>
    </row>
    <row r="14" spans="2:20" ht="17" x14ac:dyDescent="0.2">
      <c r="B14" s="256">
        <v>42</v>
      </c>
      <c r="C14" s="257" t="s">
        <v>1613</v>
      </c>
      <c r="D14" s="257" t="s">
        <v>1614</v>
      </c>
      <c r="E14" s="257" t="s">
        <v>220</v>
      </c>
      <c r="F14" s="259" t="s">
        <v>219</v>
      </c>
      <c r="G14" s="373">
        <v>1</v>
      </c>
      <c r="H14" s="259">
        <v>1</v>
      </c>
      <c r="I14" s="265">
        <v>0.86</v>
      </c>
      <c r="J14" s="258">
        <v>0.28220000000000001</v>
      </c>
      <c r="K14" s="258">
        <v>0.51590000000000003</v>
      </c>
      <c r="L14" s="266">
        <v>1</v>
      </c>
      <c r="M14" s="257" t="s">
        <v>1854</v>
      </c>
      <c r="N14" s="257" t="s">
        <v>1854</v>
      </c>
      <c r="O14" s="258" t="s">
        <v>1854</v>
      </c>
      <c r="P14" s="256" t="s">
        <v>1823</v>
      </c>
      <c r="Q14" s="257">
        <v>19</v>
      </c>
      <c r="R14" s="257">
        <v>27</v>
      </c>
      <c r="S14" s="257">
        <v>43</v>
      </c>
      <c r="T14" s="259">
        <v>4</v>
      </c>
    </row>
    <row r="15" spans="2:20" ht="17" x14ac:dyDescent="0.2">
      <c r="B15" s="256">
        <v>42</v>
      </c>
      <c r="C15" s="257" t="s">
        <v>1613</v>
      </c>
      <c r="D15" s="257" t="s">
        <v>1824</v>
      </c>
      <c r="E15" s="257" t="s">
        <v>225</v>
      </c>
      <c r="F15" s="259" t="s">
        <v>224</v>
      </c>
      <c r="G15" s="258">
        <v>0.99777352600000002</v>
      </c>
      <c r="H15" s="259">
        <v>1</v>
      </c>
      <c r="I15" s="265">
        <v>0.71</v>
      </c>
      <c r="J15" s="258">
        <v>0.2099</v>
      </c>
      <c r="K15" s="258">
        <v>0.49109999999999998</v>
      </c>
      <c r="L15" s="266">
        <v>1</v>
      </c>
      <c r="M15" s="257" t="s">
        <v>1854</v>
      </c>
      <c r="N15" s="257" t="s">
        <v>1854</v>
      </c>
      <c r="O15" s="258" t="s">
        <v>1854</v>
      </c>
      <c r="P15" s="256" t="s">
        <v>1816</v>
      </c>
      <c r="Q15" s="257">
        <v>0</v>
      </c>
      <c r="R15" s="257">
        <v>48</v>
      </c>
      <c r="S15" s="257">
        <v>6</v>
      </c>
      <c r="T15" s="259">
        <v>0</v>
      </c>
    </row>
    <row r="16" spans="2:20" ht="17" x14ac:dyDescent="0.2">
      <c r="B16" s="256">
        <v>49</v>
      </c>
      <c r="C16" s="257" t="s">
        <v>1825</v>
      </c>
      <c r="D16" s="257" t="s">
        <v>1826</v>
      </c>
      <c r="E16" s="257" t="s">
        <v>250</v>
      </c>
      <c r="F16" s="259" t="s">
        <v>249</v>
      </c>
      <c r="G16" s="373">
        <v>0.99998225200000002</v>
      </c>
      <c r="H16" s="259">
        <v>1</v>
      </c>
      <c r="I16" s="265">
        <v>0.82</v>
      </c>
      <c r="J16" s="258">
        <v>0.29039999999999999</v>
      </c>
      <c r="K16" s="258">
        <v>0.2424</v>
      </c>
      <c r="L16" s="266">
        <v>1</v>
      </c>
      <c r="M16" s="257" t="s">
        <v>1854</v>
      </c>
      <c r="N16" s="257" t="s">
        <v>1854</v>
      </c>
      <c r="O16" s="258" t="s">
        <v>1854</v>
      </c>
      <c r="P16" s="256" t="s">
        <v>1827</v>
      </c>
      <c r="Q16" s="257">
        <v>31</v>
      </c>
      <c r="R16" s="257">
        <v>2</v>
      </c>
      <c r="S16" s="257">
        <v>30</v>
      </c>
      <c r="T16" s="259">
        <v>20</v>
      </c>
    </row>
    <row r="17" spans="2:20" ht="34" x14ac:dyDescent="0.2">
      <c r="B17" s="256">
        <v>72</v>
      </c>
      <c r="C17" s="257" t="s">
        <v>1828</v>
      </c>
      <c r="D17" s="257" t="s">
        <v>1829</v>
      </c>
      <c r="E17" s="257" t="s">
        <v>348</v>
      </c>
      <c r="F17" s="259" t="s">
        <v>346</v>
      </c>
      <c r="G17" s="258">
        <v>0.97943521700000002</v>
      </c>
      <c r="H17" s="259">
        <v>1</v>
      </c>
      <c r="I17" s="265">
        <v>0.86</v>
      </c>
      <c r="J17" s="258">
        <v>0.30449999999999999</v>
      </c>
      <c r="K17" s="258">
        <v>0.25430000000000003</v>
      </c>
      <c r="L17" s="266">
        <v>1</v>
      </c>
      <c r="M17" s="257" t="s">
        <v>1854</v>
      </c>
      <c r="N17" s="257" t="s">
        <v>1854</v>
      </c>
      <c r="O17" s="258" t="s">
        <v>1854</v>
      </c>
      <c r="P17" s="256" t="s">
        <v>1830</v>
      </c>
      <c r="Q17" s="257">
        <v>16</v>
      </c>
      <c r="R17" s="257">
        <v>3</v>
      </c>
      <c r="S17" s="257">
        <v>15</v>
      </c>
      <c r="T17" s="259">
        <v>35</v>
      </c>
    </row>
    <row r="18" spans="2:20" ht="17" x14ac:dyDescent="0.2">
      <c r="B18" s="256">
        <v>75</v>
      </c>
      <c r="C18" s="257" t="s">
        <v>1831</v>
      </c>
      <c r="D18" s="257" t="s">
        <v>1832</v>
      </c>
      <c r="E18" s="257" t="s">
        <v>366</v>
      </c>
      <c r="F18" s="259" t="s">
        <v>364</v>
      </c>
      <c r="G18" s="258">
        <v>0.95430641100000002</v>
      </c>
      <c r="H18" s="259">
        <v>1</v>
      </c>
      <c r="I18" s="265">
        <v>0.84</v>
      </c>
      <c r="J18" s="258">
        <v>0.2387</v>
      </c>
      <c r="K18" s="258">
        <v>0.2326</v>
      </c>
      <c r="L18" s="266">
        <v>1</v>
      </c>
      <c r="M18" s="257" t="s">
        <v>1854</v>
      </c>
      <c r="N18" s="257" t="s">
        <v>1854</v>
      </c>
      <c r="O18" s="258" t="s">
        <v>1854</v>
      </c>
      <c r="P18" s="256" t="s">
        <v>1833</v>
      </c>
      <c r="Q18" s="257">
        <v>23</v>
      </c>
      <c r="R18" s="257">
        <v>14</v>
      </c>
      <c r="S18" s="257">
        <v>22</v>
      </c>
      <c r="T18" s="259">
        <v>28</v>
      </c>
    </row>
    <row r="19" spans="2:20" ht="17" x14ac:dyDescent="0.2">
      <c r="B19" s="256">
        <v>90</v>
      </c>
      <c r="C19" s="257" t="s">
        <v>1834</v>
      </c>
      <c r="D19" s="257" t="s">
        <v>1835</v>
      </c>
      <c r="E19" s="257" t="s">
        <v>431</v>
      </c>
      <c r="F19" s="259" t="s">
        <v>430</v>
      </c>
      <c r="G19" s="373">
        <v>1</v>
      </c>
      <c r="H19" s="259">
        <v>1</v>
      </c>
      <c r="I19" s="265">
        <v>0.79</v>
      </c>
      <c r="J19" s="258">
        <v>0.43609999999999999</v>
      </c>
      <c r="K19" s="258">
        <v>0.43609999999999999</v>
      </c>
      <c r="L19" s="266">
        <v>1</v>
      </c>
      <c r="M19" s="257" t="s">
        <v>1854</v>
      </c>
      <c r="N19" s="257" t="s">
        <v>1854</v>
      </c>
      <c r="O19" s="258" t="s">
        <v>1854</v>
      </c>
      <c r="P19" s="256" t="s">
        <v>1816</v>
      </c>
      <c r="Q19" s="257">
        <v>12</v>
      </c>
      <c r="R19" s="257">
        <v>33</v>
      </c>
      <c r="S19" s="257">
        <v>12</v>
      </c>
      <c r="T19" s="259">
        <v>33</v>
      </c>
    </row>
    <row r="20" spans="2:20" ht="34" x14ac:dyDescent="0.2">
      <c r="B20" s="256">
        <v>97</v>
      </c>
      <c r="C20" s="257" t="s">
        <v>1705</v>
      </c>
      <c r="D20" s="257" t="s">
        <v>1706</v>
      </c>
      <c r="E20" s="257" t="s">
        <v>473</v>
      </c>
      <c r="F20" s="259" t="s">
        <v>471</v>
      </c>
      <c r="G20" s="258">
        <v>0.69772606800000003</v>
      </c>
      <c r="H20" s="259">
        <v>2</v>
      </c>
      <c r="I20" s="265">
        <v>0.89</v>
      </c>
      <c r="J20" s="258">
        <v>0.31519999999999998</v>
      </c>
      <c r="K20" s="258">
        <v>0.31519999999999998</v>
      </c>
      <c r="L20" s="266">
        <v>0.65925925925925899</v>
      </c>
      <c r="M20" s="257" t="s">
        <v>1702</v>
      </c>
      <c r="N20" s="257">
        <v>0.46</v>
      </c>
      <c r="O20" s="258">
        <v>0.29178430900000002</v>
      </c>
      <c r="P20" s="256" t="s">
        <v>1836</v>
      </c>
      <c r="Q20" s="257">
        <v>31</v>
      </c>
      <c r="R20" s="257">
        <v>10</v>
      </c>
      <c r="S20" s="257">
        <v>31</v>
      </c>
      <c r="T20" s="259">
        <v>10</v>
      </c>
    </row>
    <row r="21" spans="2:20" ht="17" x14ac:dyDescent="0.2">
      <c r="B21" s="256">
        <v>98</v>
      </c>
      <c r="C21" s="257" t="s">
        <v>1710</v>
      </c>
      <c r="D21" s="257" t="s">
        <v>1711</v>
      </c>
      <c r="E21" s="257" t="s">
        <v>476</v>
      </c>
      <c r="F21" s="259" t="s">
        <v>474</v>
      </c>
      <c r="G21" s="373">
        <v>1</v>
      </c>
      <c r="H21" s="259">
        <v>1</v>
      </c>
      <c r="I21" s="265">
        <v>0.74</v>
      </c>
      <c r="J21" s="258">
        <v>0.40200000000000002</v>
      </c>
      <c r="K21" s="258">
        <v>0.44390000000000002</v>
      </c>
      <c r="L21" s="266">
        <v>1</v>
      </c>
      <c r="M21" s="257" t="s">
        <v>1854</v>
      </c>
      <c r="N21" s="257" t="s">
        <v>1854</v>
      </c>
      <c r="O21" s="258" t="s">
        <v>1854</v>
      </c>
      <c r="P21" s="256" t="s">
        <v>1837</v>
      </c>
      <c r="Q21" s="257">
        <v>6</v>
      </c>
      <c r="R21" s="257">
        <v>42</v>
      </c>
      <c r="S21" s="257">
        <v>12</v>
      </c>
      <c r="T21" s="259">
        <v>37</v>
      </c>
    </row>
    <row r="22" spans="2:20" ht="17" x14ac:dyDescent="0.2">
      <c r="B22" s="256">
        <v>98</v>
      </c>
      <c r="C22" s="257" t="s">
        <v>1710</v>
      </c>
      <c r="D22" s="257" t="s">
        <v>1713</v>
      </c>
      <c r="E22" s="257" t="s">
        <v>479</v>
      </c>
      <c r="F22" s="259" t="s">
        <v>478</v>
      </c>
      <c r="G22" s="373">
        <v>0.99996682999999997</v>
      </c>
      <c r="H22" s="259">
        <v>1</v>
      </c>
      <c r="I22" s="265">
        <v>0.8</v>
      </c>
      <c r="J22" s="258">
        <v>0.43459999999999999</v>
      </c>
      <c r="K22" s="258">
        <v>0.32640000000000002</v>
      </c>
      <c r="L22" s="266">
        <v>1</v>
      </c>
      <c r="M22" s="257" t="s">
        <v>1854</v>
      </c>
      <c r="N22" s="257" t="s">
        <v>1854</v>
      </c>
      <c r="O22" s="258" t="s">
        <v>1854</v>
      </c>
      <c r="P22" s="256" t="s">
        <v>1838</v>
      </c>
      <c r="Q22" s="257">
        <v>13</v>
      </c>
      <c r="R22" s="257">
        <v>36</v>
      </c>
      <c r="S22" s="257">
        <v>1</v>
      </c>
      <c r="T22" s="259">
        <v>49</v>
      </c>
    </row>
    <row r="23" spans="2:20" ht="17" x14ac:dyDescent="0.2">
      <c r="B23" s="256">
        <v>104</v>
      </c>
      <c r="C23" s="257" t="s">
        <v>1839</v>
      </c>
      <c r="D23" s="257" t="s">
        <v>1840</v>
      </c>
      <c r="E23" s="257" t="s">
        <v>1841</v>
      </c>
      <c r="F23" s="259" t="s">
        <v>1936</v>
      </c>
      <c r="G23" s="258">
        <v>2.3981306000000001E-2</v>
      </c>
      <c r="H23" s="259">
        <v>3</v>
      </c>
      <c r="I23" s="265">
        <v>0.81</v>
      </c>
      <c r="J23" s="258">
        <v>0.2868</v>
      </c>
      <c r="K23" s="258">
        <v>0.4113</v>
      </c>
      <c r="L23" s="266">
        <v>0.55479452054794498</v>
      </c>
      <c r="M23" s="257" t="s">
        <v>507</v>
      </c>
      <c r="N23" s="257">
        <v>0.49</v>
      </c>
      <c r="O23" s="258">
        <v>0.61963699299999997</v>
      </c>
      <c r="P23" s="256" t="s">
        <v>1833</v>
      </c>
      <c r="Q23" s="257">
        <v>8</v>
      </c>
      <c r="R23" s="257">
        <v>42</v>
      </c>
      <c r="S23" s="257">
        <v>40</v>
      </c>
      <c r="T23" s="259">
        <v>10</v>
      </c>
    </row>
    <row r="24" spans="2:20" ht="17" x14ac:dyDescent="0.2">
      <c r="B24" s="136">
        <v>105</v>
      </c>
      <c r="C24" s="137" t="s">
        <v>1842</v>
      </c>
      <c r="D24" s="137" t="s">
        <v>1843</v>
      </c>
      <c r="E24" s="137" t="s">
        <v>1844</v>
      </c>
      <c r="F24" s="138" t="s">
        <v>1937</v>
      </c>
      <c r="G24" s="260">
        <v>6.9736587000000003E-2</v>
      </c>
      <c r="H24" s="138">
        <v>2</v>
      </c>
      <c r="I24" s="267">
        <v>0.95</v>
      </c>
      <c r="J24" s="260">
        <v>0.30940000000000001</v>
      </c>
      <c r="K24" s="260">
        <v>0.27</v>
      </c>
      <c r="L24" s="268">
        <v>0.66901408450704203</v>
      </c>
      <c r="M24" s="137" t="s">
        <v>509</v>
      </c>
      <c r="N24" s="137">
        <v>0.47</v>
      </c>
      <c r="O24" s="260">
        <v>0.913397456</v>
      </c>
      <c r="P24" s="136" t="s">
        <v>1845</v>
      </c>
      <c r="Q24" s="137">
        <v>47</v>
      </c>
      <c r="R24" s="137">
        <v>2</v>
      </c>
      <c r="S24" s="137">
        <v>44</v>
      </c>
      <c r="T24" s="138">
        <v>6</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E309D-B4A3-DC4A-A895-53AD01C57598}">
  <dimension ref="B2:E9"/>
  <sheetViews>
    <sheetView workbookViewId="0"/>
  </sheetViews>
  <sheetFormatPr baseColWidth="10" defaultRowHeight="16" x14ac:dyDescent="0.2"/>
  <cols>
    <col min="1" max="1" width="4" customWidth="1"/>
    <col min="2" max="2" width="26.33203125" customWidth="1"/>
    <col min="3" max="5" width="18.6640625" customWidth="1"/>
  </cols>
  <sheetData>
    <row r="2" spans="2:5" x14ac:dyDescent="0.2">
      <c r="B2" s="25" t="s">
        <v>2915</v>
      </c>
    </row>
    <row r="3" spans="2:5" ht="20" x14ac:dyDescent="0.25">
      <c r="B3" s="181" t="s">
        <v>2435</v>
      </c>
    </row>
    <row r="5" spans="2:5" ht="28" customHeight="1" x14ac:dyDescent="0.2">
      <c r="B5" s="158" t="s">
        <v>2418</v>
      </c>
      <c r="C5" s="161" t="s">
        <v>2428</v>
      </c>
      <c r="D5" s="161" t="s">
        <v>2429</v>
      </c>
      <c r="E5" s="504" t="s">
        <v>2430</v>
      </c>
    </row>
    <row r="6" spans="2:5" ht="34" x14ac:dyDescent="0.2">
      <c r="B6" s="37" t="s">
        <v>2416</v>
      </c>
      <c r="C6" s="258" t="s">
        <v>2419</v>
      </c>
      <c r="D6" s="257" t="s">
        <v>2422</v>
      </c>
      <c r="E6" s="259" t="s">
        <v>2425</v>
      </c>
    </row>
    <row r="7" spans="2:5" ht="34" x14ac:dyDescent="0.2">
      <c r="B7" s="37" t="s">
        <v>835</v>
      </c>
      <c r="C7" s="257" t="s">
        <v>2420</v>
      </c>
      <c r="D7" s="257" t="s">
        <v>2423</v>
      </c>
      <c r="E7" s="259" t="s">
        <v>2426</v>
      </c>
    </row>
    <row r="8" spans="2:5" ht="34" x14ac:dyDescent="0.2">
      <c r="B8" s="39" t="s">
        <v>2417</v>
      </c>
      <c r="C8" s="137" t="s">
        <v>2421</v>
      </c>
      <c r="D8" s="137" t="s">
        <v>2424</v>
      </c>
      <c r="E8" s="138" t="s">
        <v>2427</v>
      </c>
    </row>
    <row r="9" spans="2:5" ht="34" x14ac:dyDescent="0.2">
      <c r="B9" s="39" t="s">
        <v>2434</v>
      </c>
      <c r="C9" s="137" t="s">
        <v>2431</v>
      </c>
      <c r="D9" s="137" t="s">
        <v>2432</v>
      </c>
      <c r="E9" s="138" t="s">
        <v>2433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B7350-18F8-DE40-9B8D-F58D288E14C9}">
  <dimension ref="B2:Z81"/>
  <sheetViews>
    <sheetView workbookViewId="0">
      <pane ySplit="11" topLeftCell="A12" activePane="bottomLeft" state="frozen"/>
      <selection pane="bottomLeft"/>
    </sheetView>
  </sheetViews>
  <sheetFormatPr baseColWidth="10" defaultColWidth="11" defaultRowHeight="16" x14ac:dyDescent="0.2"/>
  <cols>
    <col min="1" max="1" width="4" customWidth="1"/>
    <col min="2" max="2" width="21.1640625" customWidth="1"/>
    <col min="3" max="3" width="9.6640625" customWidth="1"/>
    <col min="4" max="5" width="13.1640625" customWidth="1"/>
    <col min="6" max="6" width="30.1640625" bestFit="1" customWidth="1"/>
    <col min="8" max="24" width="15.5" customWidth="1"/>
    <col min="25" max="25" width="11.6640625" customWidth="1"/>
    <col min="26" max="26" width="20.6640625" customWidth="1"/>
  </cols>
  <sheetData>
    <row r="2" spans="2:26" x14ac:dyDescent="0.2">
      <c r="B2" s="25" t="s">
        <v>2916</v>
      </c>
    </row>
    <row r="3" spans="2:26" x14ac:dyDescent="0.2">
      <c r="B3" t="s">
        <v>2804</v>
      </c>
    </row>
    <row r="4" spans="2:26" x14ac:dyDescent="0.2">
      <c r="B4" t="s">
        <v>2436</v>
      </c>
    </row>
    <row r="5" spans="2:26" x14ac:dyDescent="0.2">
      <c r="B5" t="s">
        <v>2437</v>
      </c>
    </row>
    <row r="6" spans="2:26" ht="19" x14ac:dyDescent="0.2">
      <c r="B6" t="s">
        <v>2805</v>
      </c>
    </row>
    <row r="7" spans="2:26" ht="19" x14ac:dyDescent="0.2">
      <c r="B7" t="s">
        <v>2933</v>
      </c>
    </row>
    <row r="8" spans="2:26" ht="19" x14ac:dyDescent="0.2">
      <c r="B8" t="s">
        <v>2808</v>
      </c>
    </row>
    <row r="9" spans="2:26" ht="17" thickBot="1" x14ac:dyDescent="0.25"/>
    <row r="10" spans="2:26" x14ac:dyDescent="0.2">
      <c r="B10" s="472" t="s">
        <v>828</v>
      </c>
      <c r="C10" s="473" t="s">
        <v>832</v>
      </c>
      <c r="D10" s="474" t="s">
        <v>829</v>
      </c>
      <c r="E10" s="474" t="s">
        <v>830</v>
      </c>
      <c r="F10" s="475" t="s">
        <v>902</v>
      </c>
      <c r="G10" s="430" t="s">
        <v>834</v>
      </c>
      <c r="H10" s="431"/>
      <c r="I10" s="432"/>
      <c r="J10" s="432"/>
      <c r="K10" s="432"/>
      <c r="L10" s="433"/>
      <c r="M10" s="430" t="s">
        <v>835</v>
      </c>
      <c r="N10" s="431"/>
      <c r="O10" s="432"/>
      <c r="P10" s="432"/>
      <c r="Q10" s="432"/>
      <c r="R10" s="433"/>
      <c r="S10" s="430" t="s">
        <v>836</v>
      </c>
      <c r="T10" s="431"/>
      <c r="U10" s="431"/>
      <c r="V10" s="431"/>
      <c r="W10" s="431"/>
      <c r="X10" s="433"/>
      <c r="Y10" s="454" t="s">
        <v>837</v>
      </c>
      <c r="Z10" s="455" t="s">
        <v>1939</v>
      </c>
    </row>
    <row r="11" spans="2:26" ht="20" thickBot="1" x14ac:dyDescent="0.25">
      <c r="B11" s="477"/>
      <c r="C11" s="478"/>
      <c r="D11" s="479" t="s">
        <v>831</v>
      </c>
      <c r="E11" s="479" t="s">
        <v>831</v>
      </c>
      <c r="F11" s="480"/>
      <c r="G11" s="477" t="s">
        <v>833</v>
      </c>
      <c r="H11" s="481" t="s">
        <v>2798</v>
      </c>
      <c r="I11" s="482" t="s">
        <v>2410</v>
      </c>
      <c r="J11" s="479" t="s">
        <v>2397</v>
      </c>
      <c r="K11" s="479" t="s">
        <v>2403</v>
      </c>
      <c r="L11" s="480" t="s">
        <v>2398</v>
      </c>
      <c r="M11" s="477" t="s">
        <v>833</v>
      </c>
      <c r="N11" s="481" t="s">
        <v>2798</v>
      </c>
      <c r="O11" s="482" t="s">
        <v>2410</v>
      </c>
      <c r="P11" s="479" t="s">
        <v>2397</v>
      </c>
      <c r="Q11" s="479" t="s">
        <v>2403</v>
      </c>
      <c r="R11" s="480" t="s">
        <v>2398</v>
      </c>
      <c r="S11" s="477" t="s">
        <v>833</v>
      </c>
      <c r="T11" s="481" t="s">
        <v>2798</v>
      </c>
      <c r="U11" s="482" t="s">
        <v>2410</v>
      </c>
      <c r="V11" s="483" t="s">
        <v>2397</v>
      </c>
      <c r="W11" s="484" t="s">
        <v>2403</v>
      </c>
      <c r="X11" s="485" t="s">
        <v>2398</v>
      </c>
      <c r="Y11" s="486" t="s">
        <v>2806</v>
      </c>
      <c r="Z11" s="487" t="s">
        <v>2807</v>
      </c>
    </row>
    <row r="12" spans="2:26" x14ac:dyDescent="0.2">
      <c r="B12" s="436" t="s">
        <v>740</v>
      </c>
      <c r="C12" s="379">
        <v>1</v>
      </c>
      <c r="D12" s="380">
        <v>11979648</v>
      </c>
      <c r="E12" s="380">
        <v>11986485</v>
      </c>
      <c r="F12" s="459" t="s">
        <v>903</v>
      </c>
      <c r="G12" s="496">
        <v>-0.114</v>
      </c>
      <c r="H12" s="488">
        <v>4.0999999999999999E-7</v>
      </c>
      <c r="I12" s="420" t="s">
        <v>2411</v>
      </c>
      <c r="J12" s="380">
        <v>1</v>
      </c>
      <c r="K12" s="403">
        <v>1.6E-2</v>
      </c>
      <c r="L12" s="437">
        <v>0.98399999999999999</v>
      </c>
      <c r="M12" s="436" t="s">
        <v>741</v>
      </c>
      <c r="N12" s="381" t="s">
        <v>741</v>
      </c>
      <c r="O12" s="420" t="s">
        <v>28</v>
      </c>
      <c r="P12" s="380" t="s">
        <v>28</v>
      </c>
      <c r="Q12" s="403" t="s">
        <v>28</v>
      </c>
      <c r="R12" s="437" t="s">
        <v>28</v>
      </c>
      <c r="S12" s="436" t="s">
        <v>741</v>
      </c>
      <c r="T12" s="381" t="s">
        <v>741</v>
      </c>
      <c r="U12" s="420" t="s">
        <v>28</v>
      </c>
      <c r="V12" s="379" t="s">
        <v>28</v>
      </c>
      <c r="W12" s="403" t="s">
        <v>28</v>
      </c>
      <c r="X12" s="437" t="s">
        <v>28</v>
      </c>
      <c r="Y12" s="458">
        <v>2</v>
      </c>
      <c r="Z12" s="459" t="s">
        <v>2362</v>
      </c>
    </row>
    <row r="13" spans="2:26" x14ac:dyDescent="0.2">
      <c r="B13" s="436" t="s">
        <v>742</v>
      </c>
      <c r="C13" s="379">
        <v>1</v>
      </c>
      <c r="D13" s="380">
        <v>12040238</v>
      </c>
      <c r="E13" s="380">
        <v>12073571</v>
      </c>
      <c r="F13" s="459" t="s">
        <v>903</v>
      </c>
      <c r="G13" s="496">
        <v>-5.6000000000000001E-2</v>
      </c>
      <c r="H13" s="488">
        <v>2.1500000000000001E-8</v>
      </c>
      <c r="I13" s="420" t="s">
        <v>2411</v>
      </c>
      <c r="J13" s="380">
        <v>2</v>
      </c>
      <c r="K13" s="403">
        <v>2.4E-2</v>
      </c>
      <c r="L13" s="437">
        <v>0.97499999999999998</v>
      </c>
      <c r="M13" s="496">
        <v>-0.27200000000000002</v>
      </c>
      <c r="N13" s="488">
        <v>2.8000000000000002E-10</v>
      </c>
      <c r="O13" s="420" t="s">
        <v>2411</v>
      </c>
      <c r="P13" s="380">
        <v>1</v>
      </c>
      <c r="Q13" s="403">
        <v>4.7E-2</v>
      </c>
      <c r="R13" s="437">
        <v>0.95199999999999996</v>
      </c>
      <c r="S13" s="496">
        <v>-0.154</v>
      </c>
      <c r="T13" s="488">
        <v>8.5E-9</v>
      </c>
      <c r="U13" s="420" t="s">
        <v>2412</v>
      </c>
      <c r="V13" s="379" t="s">
        <v>28</v>
      </c>
      <c r="W13" s="403" t="s">
        <v>28</v>
      </c>
      <c r="X13" s="437" t="s">
        <v>28</v>
      </c>
      <c r="Y13" s="458">
        <v>2</v>
      </c>
      <c r="Z13" s="459" t="s">
        <v>2362</v>
      </c>
    </row>
    <row r="14" spans="2:26" x14ac:dyDescent="0.2">
      <c r="B14" s="438" t="s">
        <v>743</v>
      </c>
      <c r="C14" s="388">
        <v>1</v>
      </c>
      <c r="D14" s="389">
        <v>12079523</v>
      </c>
      <c r="E14" s="389">
        <v>12092102</v>
      </c>
      <c r="F14" s="461" t="s">
        <v>903</v>
      </c>
      <c r="G14" s="497">
        <v>-8.6999999999999994E-2</v>
      </c>
      <c r="H14" s="489">
        <v>9.0099999999999993E-9</v>
      </c>
      <c r="I14" s="427" t="s">
        <v>2411</v>
      </c>
      <c r="J14" s="389">
        <v>1</v>
      </c>
      <c r="K14" s="405">
        <v>1.7000000000000001E-2</v>
      </c>
      <c r="L14" s="439">
        <v>0.98299999999999998</v>
      </c>
      <c r="M14" s="497" t="s">
        <v>741</v>
      </c>
      <c r="N14" s="489" t="s">
        <v>741</v>
      </c>
      <c r="O14" s="427" t="s">
        <v>28</v>
      </c>
      <c r="P14" s="389" t="s">
        <v>28</v>
      </c>
      <c r="Q14" s="405" t="s">
        <v>28</v>
      </c>
      <c r="R14" s="439" t="s">
        <v>28</v>
      </c>
      <c r="S14" s="497" t="s">
        <v>741</v>
      </c>
      <c r="T14" s="489" t="s">
        <v>741</v>
      </c>
      <c r="U14" s="427" t="s">
        <v>28</v>
      </c>
      <c r="V14" s="388" t="s">
        <v>28</v>
      </c>
      <c r="W14" s="405" t="s">
        <v>28</v>
      </c>
      <c r="X14" s="439" t="s">
        <v>28</v>
      </c>
      <c r="Y14" s="460">
        <v>2</v>
      </c>
      <c r="Z14" s="461" t="s">
        <v>2362</v>
      </c>
    </row>
    <row r="15" spans="2:26" x14ac:dyDescent="0.2">
      <c r="B15" s="440" t="s">
        <v>744</v>
      </c>
      <c r="C15" s="374">
        <v>1</v>
      </c>
      <c r="D15" s="375">
        <v>16154724</v>
      </c>
      <c r="E15" s="375">
        <v>16155167</v>
      </c>
      <c r="F15" s="463" t="s">
        <v>904</v>
      </c>
      <c r="G15" s="498" t="s">
        <v>741</v>
      </c>
      <c r="H15" s="490" t="s">
        <v>741</v>
      </c>
      <c r="I15" s="428" t="s">
        <v>28</v>
      </c>
      <c r="J15" s="375" t="s">
        <v>28</v>
      </c>
      <c r="K15" s="407" t="s">
        <v>28</v>
      </c>
      <c r="L15" s="441" t="s">
        <v>28</v>
      </c>
      <c r="M15" s="498">
        <v>0.28999999999999998</v>
      </c>
      <c r="N15" s="490">
        <v>4.4400000000000001E-8</v>
      </c>
      <c r="O15" s="428" t="s">
        <v>2411</v>
      </c>
      <c r="P15" s="375">
        <v>1</v>
      </c>
      <c r="Q15" s="407" t="s">
        <v>2395</v>
      </c>
      <c r="R15" s="441" t="s">
        <v>2395</v>
      </c>
      <c r="S15" s="498" t="s">
        <v>741</v>
      </c>
      <c r="T15" s="490" t="s">
        <v>741</v>
      </c>
      <c r="U15" s="428" t="s">
        <v>28</v>
      </c>
      <c r="V15" s="374" t="s">
        <v>28</v>
      </c>
      <c r="W15" s="407" t="s">
        <v>28</v>
      </c>
      <c r="X15" s="441" t="s">
        <v>28</v>
      </c>
      <c r="Y15" s="462">
        <v>3</v>
      </c>
      <c r="Z15" s="463" t="s">
        <v>2362</v>
      </c>
    </row>
    <row r="16" spans="2:26" x14ac:dyDescent="0.2">
      <c r="B16" s="434" t="s">
        <v>746</v>
      </c>
      <c r="C16" s="377">
        <v>1</v>
      </c>
      <c r="D16" s="378">
        <v>33546705</v>
      </c>
      <c r="E16" s="378">
        <v>33586131</v>
      </c>
      <c r="F16" s="457" t="s">
        <v>903</v>
      </c>
      <c r="G16" s="499" t="s">
        <v>741</v>
      </c>
      <c r="H16" s="491" t="s">
        <v>741</v>
      </c>
      <c r="I16" s="419" t="s">
        <v>28</v>
      </c>
      <c r="J16" s="378" t="s">
        <v>28</v>
      </c>
      <c r="K16" s="402" t="s">
        <v>28</v>
      </c>
      <c r="L16" s="435" t="s">
        <v>28</v>
      </c>
      <c r="M16" s="499">
        <v>0.14799999999999999</v>
      </c>
      <c r="N16" s="491">
        <v>2.0099999999999998E-6</v>
      </c>
      <c r="O16" s="419" t="s">
        <v>2411</v>
      </c>
      <c r="P16" s="378">
        <v>1</v>
      </c>
      <c r="Q16" s="402" t="s">
        <v>2395</v>
      </c>
      <c r="R16" s="435" t="s">
        <v>2395</v>
      </c>
      <c r="S16" s="499" t="s">
        <v>741</v>
      </c>
      <c r="T16" s="491" t="s">
        <v>741</v>
      </c>
      <c r="U16" s="419" t="s">
        <v>28</v>
      </c>
      <c r="V16" s="377" t="s">
        <v>28</v>
      </c>
      <c r="W16" s="402" t="s">
        <v>28</v>
      </c>
      <c r="X16" s="435" t="s">
        <v>28</v>
      </c>
      <c r="Y16" s="456">
        <v>6</v>
      </c>
      <c r="Z16" s="459" t="s">
        <v>2362</v>
      </c>
    </row>
    <row r="17" spans="2:26" x14ac:dyDescent="0.2">
      <c r="B17" s="442" t="s">
        <v>748</v>
      </c>
      <c r="C17" s="382">
        <v>1</v>
      </c>
      <c r="D17" s="383">
        <v>151772740</v>
      </c>
      <c r="E17" s="383">
        <v>151778630</v>
      </c>
      <c r="F17" s="465" t="s">
        <v>903</v>
      </c>
      <c r="G17" s="500">
        <v>-0.33100000000000002</v>
      </c>
      <c r="H17" s="492">
        <v>1.27E-17</v>
      </c>
      <c r="I17" s="422" t="s">
        <v>2411</v>
      </c>
      <c r="J17" s="383" t="s">
        <v>2396</v>
      </c>
      <c r="K17" s="408" t="s">
        <v>2395</v>
      </c>
      <c r="L17" s="443" t="s">
        <v>2395</v>
      </c>
      <c r="M17" s="500" t="s">
        <v>741</v>
      </c>
      <c r="N17" s="492" t="s">
        <v>741</v>
      </c>
      <c r="O17" s="422" t="s">
        <v>28</v>
      </c>
      <c r="P17" s="383" t="s">
        <v>28</v>
      </c>
      <c r="Q17" s="408" t="s">
        <v>28</v>
      </c>
      <c r="R17" s="443" t="s">
        <v>28</v>
      </c>
      <c r="S17" s="500" t="s">
        <v>741</v>
      </c>
      <c r="T17" s="492" t="s">
        <v>741</v>
      </c>
      <c r="U17" s="422" t="s">
        <v>28</v>
      </c>
      <c r="V17" s="382" t="s">
        <v>28</v>
      </c>
      <c r="W17" s="408" t="s">
        <v>28</v>
      </c>
      <c r="X17" s="443" t="s">
        <v>28</v>
      </c>
      <c r="Y17" s="464">
        <v>9</v>
      </c>
      <c r="Z17" s="465" t="s">
        <v>2362</v>
      </c>
    </row>
    <row r="18" spans="2:26" x14ac:dyDescent="0.2">
      <c r="B18" s="444" t="s">
        <v>749</v>
      </c>
      <c r="C18" s="384">
        <v>1</v>
      </c>
      <c r="D18" s="385">
        <v>152573138</v>
      </c>
      <c r="E18" s="385">
        <v>152573562</v>
      </c>
      <c r="F18" s="467" t="s">
        <v>903</v>
      </c>
      <c r="G18" s="501" t="s">
        <v>741</v>
      </c>
      <c r="H18" s="493" t="s">
        <v>741</v>
      </c>
      <c r="I18" s="376" t="s">
        <v>28</v>
      </c>
      <c r="J18" s="385" t="s">
        <v>28</v>
      </c>
      <c r="K18" s="404" t="s">
        <v>28</v>
      </c>
      <c r="L18" s="445" t="s">
        <v>28</v>
      </c>
      <c r="M18" s="501">
        <v>-0.16200000000000001</v>
      </c>
      <c r="N18" s="493">
        <v>5.0500000000000003E-48</v>
      </c>
      <c r="O18" s="376" t="s">
        <v>2411</v>
      </c>
      <c r="P18" s="385">
        <v>1</v>
      </c>
      <c r="Q18" s="404">
        <v>4.9000000000000002E-2</v>
      </c>
      <c r="R18" s="445">
        <v>0.95099999999999996</v>
      </c>
      <c r="S18" s="501">
        <v>-0.17899999999999999</v>
      </c>
      <c r="T18" s="493">
        <v>2.1300000000000001E-46</v>
      </c>
      <c r="U18" s="376" t="s">
        <v>2411</v>
      </c>
      <c r="V18" s="384">
        <v>1</v>
      </c>
      <c r="W18" s="404">
        <v>4.5999999999999999E-2</v>
      </c>
      <c r="X18" s="445">
        <v>0.95399999999999996</v>
      </c>
      <c r="Y18" s="466">
        <v>9</v>
      </c>
      <c r="Z18" s="467" t="s">
        <v>1938</v>
      </c>
    </row>
    <row r="19" spans="2:26" x14ac:dyDescent="0.2">
      <c r="B19" s="446" t="s">
        <v>750</v>
      </c>
      <c r="C19" s="386">
        <v>1</v>
      </c>
      <c r="D19" s="387">
        <v>152595310</v>
      </c>
      <c r="E19" s="387">
        <v>152595579</v>
      </c>
      <c r="F19" s="469" t="s">
        <v>903</v>
      </c>
      <c r="G19" s="502" t="s">
        <v>741</v>
      </c>
      <c r="H19" s="494" t="s">
        <v>741</v>
      </c>
      <c r="I19" s="426" t="s">
        <v>28</v>
      </c>
      <c r="J19" s="387" t="s">
        <v>28</v>
      </c>
      <c r="K19" s="406" t="s">
        <v>28</v>
      </c>
      <c r="L19" s="447" t="s">
        <v>28</v>
      </c>
      <c r="M19" s="502">
        <v>0.36799999999999999</v>
      </c>
      <c r="N19" s="494">
        <v>7.2500000000000007E-49</v>
      </c>
      <c r="O19" s="426" t="s">
        <v>2411</v>
      </c>
      <c r="P19" s="387">
        <v>1</v>
      </c>
      <c r="Q19" s="406">
        <v>2.5000000000000001E-2</v>
      </c>
      <c r="R19" s="447">
        <v>0.97499999999999998</v>
      </c>
      <c r="S19" s="502">
        <v>0.60899999999999999</v>
      </c>
      <c r="T19" s="494">
        <v>3.4899999999999998E-49</v>
      </c>
      <c r="U19" s="426" t="s">
        <v>2411</v>
      </c>
      <c r="V19" s="386">
        <v>1</v>
      </c>
      <c r="W19" s="406">
        <v>2.7E-2</v>
      </c>
      <c r="X19" s="447">
        <v>0.97299999999999998</v>
      </c>
      <c r="Y19" s="468">
        <v>9</v>
      </c>
      <c r="Z19" s="469" t="s">
        <v>1938</v>
      </c>
    </row>
    <row r="20" spans="2:26" x14ac:dyDescent="0.2">
      <c r="B20" s="434" t="s">
        <v>752</v>
      </c>
      <c r="C20" s="377">
        <v>1</v>
      </c>
      <c r="D20" s="378">
        <v>206643791</v>
      </c>
      <c r="E20" s="378">
        <v>206670223</v>
      </c>
      <c r="F20" s="457" t="s">
        <v>903</v>
      </c>
      <c r="G20" s="499" t="s">
        <v>741</v>
      </c>
      <c r="H20" s="491" t="s">
        <v>741</v>
      </c>
      <c r="I20" s="429" t="s">
        <v>28</v>
      </c>
      <c r="J20" s="378" t="s">
        <v>28</v>
      </c>
      <c r="K20" s="402" t="s">
        <v>28</v>
      </c>
      <c r="L20" s="435" t="s">
        <v>28</v>
      </c>
      <c r="M20" s="499">
        <v>-9.1999999999999998E-2</v>
      </c>
      <c r="N20" s="491">
        <v>2.73E-23</v>
      </c>
      <c r="O20" s="429" t="s">
        <v>2411</v>
      </c>
      <c r="P20" s="378">
        <v>1</v>
      </c>
      <c r="Q20" s="402">
        <v>6.0000000000000001E-3</v>
      </c>
      <c r="R20" s="435">
        <v>0.99399999999999999</v>
      </c>
      <c r="S20" s="499">
        <v>-0.111</v>
      </c>
      <c r="T20" s="491">
        <v>4.3500000000000002E-23</v>
      </c>
      <c r="U20" s="429" t="s">
        <v>2411</v>
      </c>
      <c r="V20" s="377">
        <v>1</v>
      </c>
      <c r="W20" s="402">
        <v>6.0000000000000001E-3</v>
      </c>
      <c r="X20" s="435">
        <v>0.99399999999999999</v>
      </c>
      <c r="Y20" s="456">
        <v>14</v>
      </c>
      <c r="Z20" s="457" t="s">
        <v>1938</v>
      </c>
    </row>
    <row r="21" spans="2:26" x14ac:dyDescent="0.2">
      <c r="B21" s="436" t="s">
        <v>753</v>
      </c>
      <c r="C21" s="379">
        <v>1</v>
      </c>
      <c r="D21" s="380">
        <v>206664449</v>
      </c>
      <c r="E21" s="380">
        <v>206671061</v>
      </c>
      <c r="F21" s="459" t="s">
        <v>905</v>
      </c>
      <c r="G21" s="496" t="s">
        <v>741</v>
      </c>
      <c r="H21" s="488" t="s">
        <v>741</v>
      </c>
      <c r="I21" s="417" t="s">
        <v>28</v>
      </c>
      <c r="J21" s="380" t="s">
        <v>28</v>
      </c>
      <c r="K21" s="403" t="s">
        <v>28</v>
      </c>
      <c r="L21" s="437" t="s">
        <v>28</v>
      </c>
      <c r="M21" s="496">
        <v>-0.14000000000000001</v>
      </c>
      <c r="N21" s="488">
        <v>5.5300000000000002E-21</v>
      </c>
      <c r="O21" s="417" t="s">
        <v>2411</v>
      </c>
      <c r="P21" s="380">
        <v>1</v>
      </c>
      <c r="Q21" s="403">
        <v>3.0000000000000001E-3</v>
      </c>
      <c r="R21" s="437">
        <v>0.997</v>
      </c>
      <c r="S21" s="496">
        <v>-0.14199999999999999</v>
      </c>
      <c r="T21" s="488">
        <v>3.65E-21</v>
      </c>
      <c r="U21" s="417" t="s">
        <v>2411</v>
      </c>
      <c r="V21" s="379">
        <v>1</v>
      </c>
      <c r="W21" s="403">
        <v>6.0000000000000001E-3</v>
      </c>
      <c r="X21" s="437">
        <v>0.99399999999999999</v>
      </c>
      <c r="Y21" s="458">
        <v>14</v>
      </c>
      <c r="Z21" s="459" t="s">
        <v>2362</v>
      </c>
    </row>
    <row r="22" spans="2:26" x14ac:dyDescent="0.2">
      <c r="B22" s="438" t="s">
        <v>754</v>
      </c>
      <c r="C22" s="388">
        <v>1</v>
      </c>
      <c r="D22" s="389">
        <v>206680879</v>
      </c>
      <c r="E22" s="389">
        <v>206762616</v>
      </c>
      <c r="F22" s="461" t="s">
        <v>903</v>
      </c>
      <c r="G22" s="497" t="s">
        <v>741</v>
      </c>
      <c r="H22" s="489" t="s">
        <v>741</v>
      </c>
      <c r="I22" s="418" t="s">
        <v>28</v>
      </c>
      <c r="J22" s="389" t="s">
        <v>28</v>
      </c>
      <c r="K22" s="405" t="s">
        <v>28</v>
      </c>
      <c r="L22" s="439" t="s">
        <v>28</v>
      </c>
      <c r="M22" s="497">
        <v>-0.438</v>
      </c>
      <c r="N22" s="489">
        <v>5.1300000000000002E-12</v>
      </c>
      <c r="O22" s="418" t="s">
        <v>2411</v>
      </c>
      <c r="P22" s="389">
        <v>1</v>
      </c>
      <c r="Q22" s="405">
        <v>0.14099999999999999</v>
      </c>
      <c r="R22" s="439">
        <v>0.67500000000000004</v>
      </c>
      <c r="S22" s="497" t="s">
        <v>741</v>
      </c>
      <c r="T22" s="489" t="s">
        <v>741</v>
      </c>
      <c r="U22" s="418" t="s">
        <v>28</v>
      </c>
      <c r="V22" s="388" t="s">
        <v>28</v>
      </c>
      <c r="W22" s="405" t="s">
        <v>28</v>
      </c>
      <c r="X22" s="439" t="s">
        <v>28</v>
      </c>
      <c r="Y22" s="460">
        <v>14</v>
      </c>
      <c r="Z22" s="461" t="s">
        <v>2362</v>
      </c>
    </row>
    <row r="23" spans="2:26" x14ac:dyDescent="0.2">
      <c r="B23" s="440" t="s">
        <v>755</v>
      </c>
      <c r="C23" s="374">
        <v>2</v>
      </c>
      <c r="D23" s="375">
        <v>61404553</v>
      </c>
      <c r="E23" s="375">
        <v>61418338</v>
      </c>
      <c r="F23" s="463" t="s">
        <v>906</v>
      </c>
      <c r="G23" s="498">
        <v>-4.2999999999999997E-2</v>
      </c>
      <c r="H23" s="490">
        <v>9.5300000000000002E-7</v>
      </c>
      <c r="I23" s="428" t="s">
        <v>2411</v>
      </c>
      <c r="J23" s="375">
        <v>7</v>
      </c>
      <c r="K23" s="407">
        <v>0.309</v>
      </c>
      <c r="L23" s="441">
        <v>0.13600000000000001</v>
      </c>
      <c r="M23" s="498" t="s">
        <v>741</v>
      </c>
      <c r="N23" s="490" t="s">
        <v>741</v>
      </c>
      <c r="O23" s="428" t="s">
        <v>28</v>
      </c>
      <c r="P23" s="375" t="s">
        <v>28</v>
      </c>
      <c r="Q23" s="407" t="s">
        <v>28</v>
      </c>
      <c r="R23" s="441" t="s">
        <v>28</v>
      </c>
      <c r="S23" s="498" t="s">
        <v>741</v>
      </c>
      <c r="T23" s="490" t="s">
        <v>741</v>
      </c>
      <c r="U23" s="428" t="s">
        <v>28</v>
      </c>
      <c r="V23" s="374" t="s">
        <v>28</v>
      </c>
      <c r="W23" s="407" t="s">
        <v>28</v>
      </c>
      <c r="X23" s="441" t="s">
        <v>28</v>
      </c>
      <c r="Y23" s="462">
        <v>16</v>
      </c>
      <c r="Z23" s="463" t="s">
        <v>2362</v>
      </c>
    </row>
    <row r="24" spans="2:26" x14ac:dyDescent="0.2">
      <c r="B24" s="436" t="s">
        <v>756</v>
      </c>
      <c r="C24" s="379">
        <v>5</v>
      </c>
      <c r="D24" s="380">
        <v>72251808</v>
      </c>
      <c r="E24" s="380">
        <v>72386349</v>
      </c>
      <c r="F24" s="459" t="s">
        <v>903</v>
      </c>
      <c r="G24" s="496">
        <v>0.15</v>
      </c>
      <c r="H24" s="488">
        <v>1.9599999999999999E-6</v>
      </c>
      <c r="I24" s="417" t="s">
        <v>2411</v>
      </c>
      <c r="J24" s="380">
        <v>1</v>
      </c>
      <c r="K24" s="403" t="s">
        <v>2395</v>
      </c>
      <c r="L24" s="437" t="s">
        <v>2395</v>
      </c>
      <c r="M24" s="496">
        <v>0.157</v>
      </c>
      <c r="N24" s="488">
        <v>4.3799999999999998E-7</v>
      </c>
      <c r="O24" s="417" t="s">
        <v>2411</v>
      </c>
      <c r="P24" s="380">
        <v>2</v>
      </c>
      <c r="Q24" s="403" t="s">
        <v>2395</v>
      </c>
      <c r="R24" s="437" t="s">
        <v>2395</v>
      </c>
      <c r="S24" s="496" t="s">
        <v>741</v>
      </c>
      <c r="T24" s="488" t="s">
        <v>741</v>
      </c>
      <c r="U24" s="417" t="s">
        <v>28</v>
      </c>
      <c r="V24" s="379" t="s">
        <v>28</v>
      </c>
      <c r="W24" s="403" t="s">
        <v>28</v>
      </c>
      <c r="X24" s="437" t="s">
        <v>28</v>
      </c>
      <c r="Y24" s="458" t="s">
        <v>757</v>
      </c>
      <c r="Z24" s="459" t="s">
        <v>2362</v>
      </c>
    </row>
    <row r="25" spans="2:26" x14ac:dyDescent="0.2">
      <c r="B25" s="440" t="s">
        <v>758</v>
      </c>
      <c r="C25" s="374">
        <v>5</v>
      </c>
      <c r="D25" s="375">
        <v>96096521</v>
      </c>
      <c r="E25" s="375">
        <v>96143803</v>
      </c>
      <c r="F25" s="463" t="s">
        <v>903</v>
      </c>
      <c r="G25" s="498">
        <v>7.0000000000000007E-2</v>
      </c>
      <c r="H25" s="490">
        <v>5.9999999999999997E-15</v>
      </c>
      <c r="I25" s="428" t="s">
        <v>2411</v>
      </c>
      <c r="J25" s="375">
        <v>2</v>
      </c>
      <c r="K25" s="407">
        <v>1</v>
      </c>
      <c r="L25" s="441">
        <v>0</v>
      </c>
      <c r="M25" s="498">
        <v>9.7000000000000003E-2</v>
      </c>
      <c r="N25" s="490">
        <v>5.7600000000000002E-14</v>
      </c>
      <c r="O25" s="428" t="s">
        <v>2411</v>
      </c>
      <c r="P25" s="375">
        <v>3</v>
      </c>
      <c r="Q25" s="407">
        <v>0.374</v>
      </c>
      <c r="R25" s="441">
        <v>0.10100000000000001</v>
      </c>
      <c r="S25" s="498">
        <v>8.2000000000000003E-2</v>
      </c>
      <c r="T25" s="490">
        <v>4.9600000000000004E-10</v>
      </c>
      <c r="U25" s="428" t="s">
        <v>2411</v>
      </c>
      <c r="V25" s="374">
        <v>2</v>
      </c>
      <c r="W25" s="407">
        <v>0.97899999999999998</v>
      </c>
      <c r="X25" s="441">
        <v>1.4E-2</v>
      </c>
      <c r="Y25" s="462">
        <v>35</v>
      </c>
      <c r="Z25" s="463" t="s">
        <v>1938</v>
      </c>
    </row>
    <row r="26" spans="2:26" x14ac:dyDescent="0.2">
      <c r="B26" s="436" t="s">
        <v>759</v>
      </c>
      <c r="C26" s="379">
        <v>5</v>
      </c>
      <c r="D26" s="380">
        <v>132009678</v>
      </c>
      <c r="E26" s="380">
        <v>132018368</v>
      </c>
      <c r="F26" s="459" t="s">
        <v>903</v>
      </c>
      <c r="G26" s="496">
        <v>0.60699999999999998</v>
      </c>
      <c r="H26" s="488">
        <v>6.9000000000000001E-12</v>
      </c>
      <c r="I26" s="417" t="s">
        <v>2412</v>
      </c>
      <c r="J26" s="380" t="s">
        <v>28</v>
      </c>
      <c r="K26" s="403" t="s">
        <v>28</v>
      </c>
      <c r="L26" s="437" t="s">
        <v>28</v>
      </c>
      <c r="M26" s="496">
        <v>0.254</v>
      </c>
      <c r="N26" s="488">
        <v>8.0699999999999993E-12</v>
      </c>
      <c r="O26" s="417" t="s">
        <v>2411</v>
      </c>
      <c r="P26" s="380" t="s">
        <v>2396</v>
      </c>
      <c r="Q26" s="403" t="s">
        <v>2395</v>
      </c>
      <c r="R26" s="437" t="s">
        <v>2395</v>
      </c>
      <c r="S26" s="496" t="s">
        <v>741</v>
      </c>
      <c r="T26" s="488" t="s">
        <v>741</v>
      </c>
      <c r="U26" s="417" t="s">
        <v>28</v>
      </c>
      <c r="V26" s="379" t="s">
        <v>28</v>
      </c>
      <c r="W26" s="403" t="s">
        <v>28</v>
      </c>
      <c r="X26" s="437" t="s">
        <v>28</v>
      </c>
      <c r="Y26" s="458">
        <v>36</v>
      </c>
      <c r="Z26" s="459" t="s">
        <v>1938</v>
      </c>
    </row>
    <row r="27" spans="2:26" x14ac:dyDescent="0.2">
      <c r="B27" s="436" t="s">
        <v>760</v>
      </c>
      <c r="C27" s="379">
        <v>5</v>
      </c>
      <c r="D27" s="380">
        <v>132387654</v>
      </c>
      <c r="E27" s="380">
        <v>132442141</v>
      </c>
      <c r="F27" s="459" t="s">
        <v>903</v>
      </c>
      <c r="G27" s="496">
        <v>-0.249</v>
      </c>
      <c r="H27" s="488">
        <v>4.4299999999999998E-14</v>
      </c>
      <c r="I27" s="417" t="s">
        <v>2411</v>
      </c>
      <c r="J27" s="380">
        <v>1</v>
      </c>
      <c r="K27" s="403">
        <v>0.374</v>
      </c>
      <c r="L27" s="437">
        <v>0.56899999999999995</v>
      </c>
      <c r="M27" s="496">
        <v>-0.1</v>
      </c>
      <c r="N27" s="488">
        <v>1.85E-8</v>
      </c>
      <c r="O27" s="417" t="s">
        <v>2411</v>
      </c>
      <c r="P27" s="380">
        <v>1</v>
      </c>
      <c r="Q27" s="403">
        <v>0.21099999999999999</v>
      </c>
      <c r="R27" s="437">
        <v>0.78200000000000003</v>
      </c>
      <c r="S27" s="496">
        <v>-0.23899999999999999</v>
      </c>
      <c r="T27" s="488">
        <v>4.6999999999999997E-8</v>
      </c>
      <c r="U27" s="417" t="s">
        <v>2411</v>
      </c>
      <c r="V27" s="379">
        <v>1</v>
      </c>
      <c r="W27" s="403">
        <v>0.21099999999999999</v>
      </c>
      <c r="X27" s="437">
        <v>0.78100000000000003</v>
      </c>
      <c r="Y27" s="458">
        <v>36</v>
      </c>
      <c r="Z27" s="459" t="s">
        <v>2362</v>
      </c>
    </row>
    <row r="28" spans="2:26" x14ac:dyDescent="0.2">
      <c r="B28" s="440" t="s">
        <v>762</v>
      </c>
      <c r="C28" s="374">
        <v>6</v>
      </c>
      <c r="D28" s="375">
        <v>111580551</v>
      </c>
      <c r="E28" s="375">
        <v>111592370</v>
      </c>
      <c r="F28" s="463" t="s">
        <v>903</v>
      </c>
      <c r="G28" s="498">
        <v>0.309</v>
      </c>
      <c r="H28" s="490">
        <v>7.6399999999999996E-27</v>
      </c>
      <c r="I28" s="428" t="s">
        <v>2412</v>
      </c>
      <c r="J28" s="375" t="s">
        <v>28</v>
      </c>
      <c r="K28" s="407" t="s">
        <v>28</v>
      </c>
      <c r="L28" s="441" t="s">
        <v>28</v>
      </c>
      <c r="M28" s="498">
        <v>0.22800000000000001</v>
      </c>
      <c r="N28" s="490">
        <v>4.79E-21</v>
      </c>
      <c r="O28" s="428" t="s">
        <v>2411</v>
      </c>
      <c r="P28" s="375">
        <v>2</v>
      </c>
      <c r="Q28" s="407">
        <v>0.28000000000000003</v>
      </c>
      <c r="R28" s="441">
        <v>0.71899999999999997</v>
      </c>
      <c r="S28" s="498">
        <v>0.27700000000000002</v>
      </c>
      <c r="T28" s="490">
        <v>1.03E-32</v>
      </c>
      <c r="U28" s="428" t="s">
        <v>2411</v>
      </c>
      <c r="V28" s="374">
        <v>1</v>
      </c>
      <c r="W28" s="407">
        <v>0.999</v>
      </c>
      <c r="X28" s="441">
        <v>1E-3</v>
      </c>
      <c r="Y28" s="462">
        <v>42</v>
      </c>
      <c r="Z28" s="463" t="s">
        <v>2362</v>
      </c>
    </row>
    <row r="29" spans="2:26" x14ac:dyDescent="0.2">
      <c r="B29" s="436" t="s">
        <v>764</v>
      </c>
      <c r="C29" s="379">
        <v>7</v>
      </c>
      <c r="D29" s="380">
        <v>128577666</v>
      </c>
      <c r="E29" s="380">
        <v>128590089</v>
      </c>
      <c r="F29" s="459" t="s">
        <v>903</v>
      </c>
      <c r="G29" s="496">
        <v>8.2000000000000003E-2</v>
      </c>
      <c r="H29" s="488">
        <v>5.3500000000000001E-10</v>
      </c>
      <c r="I29" s="417" t="s">
        <v>2411</v>
      </c>
      <c r="J29" s="380">
        <v>1</v>
      </c>
      <c r="K29" s="403">
        <v>6.7000000000000004E-2</v>
      </c>
      <c r="L29" s="437">
        <v>0.93300000000000005</v>
      </c>
      <c r="M29" s="496">
        <v>0.11700000000000001</v>
      </c>
      <c r="N29" s="488">
        <v>1.2000000000000001E-11</v>
      </c>
      <c r="O29" s="417" t="s">
        <v>2411</v>
      </c>
      <c r="P29" s="380">
        <v>1</v>
      </c>
      <c r="Q29" s="403">
        <v>5.8999999999999997E-2</v>
      </c>
      <c r="R29" s="437">
        <v>0.94099999999999995</v>
      </c>
      <c r="S29" s="496">
        <v>0.104</v>
      </c>
      <c r="T29" s="488">
        <v>2.69E-9</v>
      </c>
      <c r="U29" s="417" t="s">
        <v>2411</v>
      </c>
      <c r="V29" s="379">
        <v>1</v>
      </c>
      <c r="W29" s="403">
        <v>6.4000000000000001E-2</v>
      </c>
      <c r="X29" s="437">
        <v>0.93600000000000005</v>
      </c>
      <c r="Y29" s="458">
        <v>48</v>
      </c>
      <c r="Z29" s="459" t="s">
        <v>2362</v>
      </c>
    </row>
    <row r="30" spans="2:26" x14ac:dyDescent="0.2">
      <c r="B30" s="440" t="s">
        <v>765</v>
      </c>
      <c r="C30" s="374">
        <v>7</v>
      </c>
      <c r="D30" s="375">
        <v>150413645</v>
      </c>
      <c r="E30" s="375">
        <v>150421372</v>
      </c>
      <c r="F30" s="463" t="s">
        <v>903</v>
      </c>
      <c r="G30" s="498">
        <v>-0.122</v>
      </c>
      <c r="H30" s="490">
        <v>1.7599999999999999E-7</v>
      </c>
      <c r="I30" s="428" t="s">
        <v>2411</v>
      </c>
      <c r="J30" s="375">
        <v>1</v>
      </c>
      <c r="K30" s="407" t="s">
        <v>2395</v>
      </c>
      <c r="L30" s="441" t="s">
        <v>2395</v>
      </c>
      <c r="M30" s="498" t="s">
        <v>741</v>
      </c>
      <c r="N30" s="490" t="s">
        <v>741</v>
      </c>
      <c r="O30" s="428" t="s">
        <v>28</v>
      </c>
      <c r="P30" s="375" t="s">
        <v>28</v>
      </c>
      <c r="Q30" s="407" t="s">
        <v>28</v>
      </c>
      <c r="R30" s="441" t="s">
        <v>28</v>
      </c>
      <c r="S30" s="498" t="s">
        <v>741</v>
      </c>
      <c r="T30" s="490" t="s">
        <v>741</v>
      </c>
      <c r="U30" s="428" t="s">
        <v>28</v>
      </c>
      <c r="V30" s="374" t="s">
        <v>28</v>
      </c>
      <c r="W30" s="407" t="s">
        <v>28</v>
      </c>
      <c r="X30" s="441" t="s">
        <v>28</v>
      </c>
      <c r="Y30" s="462" t="s">
        <v>757</v>
      </c>
      <c r="Z30" s="463" t="s">
        <v>2362</v>
      </c>
    </row>
    <row r="31" spans="2:26" x14ac:dyDescent="0.2">
      <c r="B31" s="436" t="s">
        <v>766</v>
      </c>
      <c r="C31" s="379">
        <v>8</v>
      </c>
      <c r="D31" s="380">
        <v>66556969</v>
      </c>
      <c r="E31" s="380">
        <v>66683496</v>
      </c>
      <c r="F31" s="459" t="s">
        <v>903</v>
      </c>
      <c r="G31" s="496" t="s">
        <v>741</v>
      </c>
      <c r="H31" s="488" t="s">
        <v>741</v>
      </c>
      <c r="I31" s="417" t="s">
        <v>28</v>
      </c>
      <c r="J31" s="380" t="s">
        <v>28</v>
      </c>
      <c r="K31" s="403" t="s">
        <v>28</v>
      </c>
      <c r="L31" s="437" t="s">
        <v>28</v>
      </c>
      <c r="M31" s="496" t="s">
        <v>741</v>
      </c>
      <c r="N31" s="488" t="s">
        <v>741</v>
      </c>
      <c r="O31" s="417" t="s">
        <v>28</v>
      </c>
      <c r="P31" s="380" t="s">
        <v>28</v>
      </c>
      <c r="Q31" s="403" t="s">
        <v>28</v>
      </c>
      <c r="R31" s="437" t="s">
        <v>28</v>
      </c>
      <c r="S31" s="496">
        <v>-0.16300000000000001</v>
      </c>
      <c r="T31" s="488">
        <v>1.35E-7</v>
      </c>
      <c r="U31" s="417" t="s">
        <v>2411</v>
      </c>
      <c r="V31" s="379">
        <v>1</v>
      </c>
      <c r="W31" s="403" t="s">
        <v>2395</v>
      </c>
      <c r="X31" s="437" t="s">
        <v>2395</v>
      </c>
      <c r="Y31" s="458" t="s">
        <v>757</v>
      </c>
      <c r="Z31" s="459" t="s">
        <v>2362</v>
      </c>
    </row>
    <row r="32" spans="2:26" x14ac:dyDescent="0.2">
      <c r="B32" s="440" t="s">
        <v>768</v>
      </c>
      <c r="C32" s="374">
        <v>9</v>
      </c>
      <c r="D32" s="375">
        <v>117546915</v>
      </c>
      <c r="E32" s="375">
        <v>117568406</v>
      </c>
      <c r="F32" s="463" t="s">
        <v>903</v>
      </c>
      <c r="G32" s="498">
        <v>-0.18</v>
      </c>
      <c r="H32" s="490">
        <v>1.13E-6</v>
      </c>
      <c r="I32" s="428" t="s">
        <v>2411</v>
      </c>
      <c r="J32" s="375">
        <v>1</v>
      </c>
      <c r="K32" s="407">
        <v>6.6000000000000003E-2</v>
      </c>
      <c r="L32" s="441">
        <v>0.93400000000000005</v>
      </c>
      <c r="M32" s="498" t="s">
        <v>741</v>
      </c>
      <c r="N32" s="490" t="s">
        <v>741</v>
      </c>
      <c r="O32" s="428" t="s">
        <v>28</v>
      </c>
      <c r="P32" s="375" t="s">
        <v>28</v>
      </c>
      <c r="Q32" s="407" t="s">
        <v>28</v>
      </c>
      <c r="R32" s="441" t="s">
        <v>28</v>
      </c>
      <c r="S32" s="498" t="s">
        <v>741</v>
      </c>
      <c r="T32" s="490" t="s">
        <v>741</v>
      </c>
      <c r="U32" s="428" t="s">
        <v>28</v>
      </c>
      <c r="V32" s="374" t="s">
        <v>28</v>
      </c>
      <c r="W32" s="407" t="s">
        <v>28</v>
      </c>
      <c r="X32" s="441" t="s">
        <v>28</v>
      </c>
      <c r="Y32" s="462">
        <v>55</v>
      </c>
      <c r="Z32" s="463" t="s">
        <v>1938</v>
      </c>
    </row>
    <row r="33" spans="2:26" x14ac:dyDescent="0.2">
      <c r="B33" s="436" t="s">
        <v>769</v>
      </c>
      <c r="C33" s="379">
        <v>10</v>
      </c>
      <c r="D33" s="380">
        <v>75532049</v>
      </c>
      <c r="E33" s="380">
        <v>75540009</v>
      </c>
      <c r="F33" s="459" t="s">
        <v>903</v>
      </c>
      <c r="G33" s="496">
        <v>0.17199999999999999</v>
      </c>
      <c r="H33" s="488">
        <v>4.5899999999999996E-12</v>
      </c>
      <c r="I33" s="417" t="s">
        <v>2411</v>
      </c>
      <c r="J33" s="380">
        <v>1</v>
      </c>
      <c r="K33" s="403">
        <v>0.436</v>
      </c>
      <c r="L33" s="437">
        <v>0.51</v>
      </c>
      <c r="M33" s="496" t="s">
        <v>741</v>
      </c>
      <c r="N33" s="488" t="s">
        <v>741</v>
      </c>
      <c r="O33" s="417" t="s">
        <v>28</v>
      </c>
      <c r="P33" s="380" t="s">
        <v>28</v>
      </c>
      <c r="Q33" s="403" t="s">
        <v>28</v>
      </c>
      <c r="R33" s="437" t="s">
        <v>28</v>
      </c>
      <c r="S33" s="496" t="s">
        <v>741</v>
      </c>
      <c r="T33" s="488" t="s">
        <v>741</v>
      </c>
      <c r="U33" s="417" t="s">
        <v>28</v>
      </c>
      <c r="V33" s="379" t="s">
        <v>28</v>
      </c>
      <c r="W33" s="403" t="s">
        <v>28</v>
      </c>
      <c r="X33" s="437" t="s">
        <v>28</v>
      </c>
      <c r="Y33" s="458">
        <v>59</v>
      </c>
      <c r="Z33" s="459" t="s">
        <v>2362</v>
      </c>
    </row>
    <row r="34" spans="2:26" x14ac:dyDescent="0.2">
      <c r="B34" s="442" t="s">
        <v>770</v>
      </c>
      <c r="C34" s="382">
        <v>10</v>
      </c>
      <c r="D34" s="383">
        <v>101992055</v>
      </c>
      <c r="E34" s="383">
        <v>102027437</v>
      </c>
      <c r="F34" s="465" t="s">
        <v>903</v>
      </c>
      <c r="G34" s="500">
        <v>-0.128</v>
      </c>
      <c r="H34" s="492">
        <v>3.8600000000000001E-12</v>
      </c>
      <c r="I34" s="422" t="s">
        <v>2411</v>
      </c>
      <c r="J34" s="383">
        <v>1</v>
      </c>
      <c r="K34" s="408">
        <v>0.13200000000000001</v>
      </c>
      <c r="L34" s="443">
        <v>0.86799999999999999</v>
      </c>
      <c r="M34" s="500">
        <v>-8.8999999999999996E-2</v>
      </c>
      <c r="N34" s="492">
        <v>1.21E-14</v>
      </c>
      <c r="O34" s="422" t="s">
        <v>2411</v>
      </c>
      <c r="P34" s="383">
        <v>1</v>
      </c>
      <c r="Q34" s="408">
        <v>9.9000000000000005E-2</v>
      </c>
      <c r="R34" s="443">
        <v>0.90100000000000002</v>
      </c>
      <c r="S34" s="500">
        <v>-9.1999999999999998E-2</v>
      </c>
      <c r="T34" s="492">
        <v>3.7200000000000002E-14</v>
      </c>
      <c r="U34" s="422" t="s">
        <v>2411</v>
      </c>
      <c r="V34" s="382">
        <v>1</v>
      </c>
      <c r="W34" s="408">
        <v>0.123</v>
      </c>
      <c r="X34" s="443">
        <v>0.877</v>
      </c>
      <c r="Y34" s="464">
        <v>63</v>
      </c>
      <c r="Z34" s="465" t="s">
        <v>2362</v>
      </c>
    </row>
    <row r="35" spans="2:26" x14ac:dyDescent="0.2">
      <c r="B35" s="444" t="s">
        <v>771</v>
      </c>
      <c r="C35" s="384">
        <v>10</v>
      </c>
      <c r="D35" s="385">
        <v>102008028</v>
      </c>
      <c r="E35" s="385">
        <v>102008852</v>
      </c>
      <c r="F35" s="467" t="s">
        <v>904</v>
      </c>
      <c r="G35" s="501" t="s">
        <v>741</v>
      </c>
      <c r="H35" s="493" t="s">
        <v>741</v>
      </c>
      <c r="I35" s="376" t="s">
        <v>28</v>
      </c>
      <c r="J35" s="385" t="s">
        <v>28</v>
      </c>
      <c r="K35" s="404" t="s">
        <v>28</v>
      </c>
      <c r="L35" s="445" t="s">
        <v>28</v>
      </c>
      <c r="M35" s="501">
        <v>-0.21199999999999999</v>
      </c>
      <c r="N35" s="493">
        <v>2.13E-12</v>
      </c>
      <c r="O35" s="376" t="s">
        <v>2411</v>
      </c>
      <c r="P35" s="385">
        <v>1</v>
      </c>
      <c r="Q35" s="404">
        <v>7.3999999999999996E-2</v>
      </c>
      <c r="R35" s="445">
        <v>0.92600000000000005</v>
      </c>
      <c r="S35" s="501">
        <v>-0.124</v>
      </c>
      <c r="T35" s="493">
        <v>3.3399999999999998E-10</v>
      </c>
      <c r="U35" s="376" t="s">
        <v>2411</v>
      </c>
      <c r="V35" s="384">
        <v>1</v>
      </c>
      <c r="W35" s="404">
        <v>0.67300000000000004</v>
      </c>
      <c r="X35" s="445">
        <v>0.32700000000000001</v>
      </c>
      <c r="Y35" s="466">
        <v>63</v>
      </c>
      <c r="Z35" s="467" t="s">
        <v>2362</v>
      </c>
    </row>
    <row r="36" spans="2:26" x14ac:dyDescent="0.2">
      <c r="B36" s="446" t="s">
        <v>772</v>
      </c>
      <c r="C36" s="386">
        <v>10</v>
      </c>
      <c r="D36" s="387">
        <v>102033713</v>
      </c>
      <c r="E36" s="387">
        <v>102046469</v>
      </c>
      <c r="F36" s="469" t="s">
        <v>903</v>
      </c>
      <c r="G36" s="502">
        <v>-0.25700000000000001</v>
      </c>
      <c r="H36" s="494">
        <v>1.65E-12</v>
      </c>
      <c r="I36" s="426" t="s">
        <v>2411</v>
      </c>
      <c r="J36" s="387">
        <v>1</v>
      </c>
      <c r="K36" s="406">
        <v>0.34499999999999997</v>
      </c>
      <c r="L36" s="447">
        <v>0.65500000000000003</v>
      </c>
      <c r="M36" s="502" t="s">
        <v>741</v>
      </c>
      <c r="N36" s="494" t="s">
        <v>741</v>
      </c>
      <c r="O36" s="426" t="s">
        <v>28</v>
      </c>
      <c r="P36" s="387" t="s">
        <v>28</v>
      </c>
      <c r="Q36" s="406" t="s">
        <v>28</v>
      </c>
      <c r="R36" s="447" t="s">
        <v>28</v>
      </c>
      <c r="S36" s="502" t="s">
        <v>741</v>
      </c>
      <c r="T36" s="494" t="s">
        <v>741</v>
      </c>
      <c r="U36" s="426" t="s">
        <v>28</v>
      </c>
      <c r="V36" s="386" t="s">
        <v>28</v>
      </c>
      <c r="W36" s="406" t="s">
        <v>28</v>
      </c>
      <c r="X36" s="447" t="s">
        <v>28</v>
      </c>
      <c r="Y36" s="468">
        <v>63</v>
      </c>
      <c r="Z36" s="469" t="s">
        <v>2362</v>
      </c>
    </row>
    <row r="37" spans="2:26" x14ac:dyDescent="0.2">
      <c r="B37" s="436" t="s">
        <v>773</v>
      </c>
      <c r="C37" s="379">
        <v>11</v>
      </c>
      <c r="D37" s="380">
        <v>64011956</v>
      </c>
      <c r="E37" s="380">
        <v>64014413</v>
      </c>
      <c r="F37" s="459" t="s">
        <v>903</v>
      </c>
      <c r="G37" s="496" t="s">
        <v>741</v>
      </c>
      <c r="H37" s="488" t="s">
        <v>741</v>
      </c>
      <c r="I37" s="417" t="s">
        <v>28</v>
      </c>
      <c r="J37" s="380" t="s">
        <v>28</v>
      </c>
      <c r="K37" s="403" t="s">
        <v>28</v>
      </c>
      <c r="L37" s="437" t="s">
        <v>28</v>
      </c>
      <c r="M37" s="496">
        <v>0.185</v>
      </c>
      <c r="N37" s="488">
        <v>2.3400000000000001E-16</v>
      </c>
      <c r="O37" s="417" t="s">
        <v>2411</v>
      </c>
      <c r="P37" s="380">
        <v>1</v>
      </c>
      <c r="Q37" s="403">
        <v>4.3999999999999997E-2</v>
      </c>
      <c r="R37" s="437">
        <v>0.95599999999999996</v>
      </c>
      <c r="S37" s="496" t="s">
        <v>741</v>
      </c>
      <c r="T37" s="488" t="s">
        <v>741</v>
      </c>
      <c r="U37" s="417" t="s">
        <v>28</v>
      </c>
      <c r="V37" s="379" t="s">
        <v>28</v>
      </c>
      <c r="W37" s="403" t="s">
        <v>28</v>
      </c>
      <c r="X37" s="437" t="s">
        <v>28</v>
      </c>
      <c r="Y37" s="458">
        <v>66</v>
      </c>
      <c r="Z37" s="459" t="s">
        <v>2362</v>
      </c>
    </row>
    <row r="38" spans="2:26" x14ac:dyDescent="0.2">
      <c r="B38" s="436" t="s">
        <v>774</v>
      </c>
      <c r="C38" s="379">
        <v>11</v>
      </c>
      <c r="D38" s="380">
        <v>64107695</v>
      </c>
      <c r="E38" s="380">
        <v>64125006</v>
      </c>
      <c r="F38" s="459" t="s">
        <v>903</v>
      </c>
      <c r="G38" s="496" t="s">
        <v>741</v>
      </c>
      <c r="H38" s="488" t="s">
        <v>741</v>
      </c>
      <c r="I38" s="417" t="s">
        <v>28</v>
      </c>
      <c r="J38" s="380" t="s">
        <v>28</v>
      </c>
      <c r="K38" s="403" t="s">
        <v>28</v>
      </c>
      <c r="L38" s="437" t="s">
        <v>28</v>
      </c>
      <c r="M38" s="496">
        <v>0.19400000000000001</v>
      </c>
      <c r="N38" s="488">
        <v>7.3599999999999997E-14</v>
      </c>
      <c r="O38" s="417" t="s">
        <v>2411</v>
      </c>
      <c r="P38" s="380">
        <v>1</v>
      </c>
      <c r="Q38" s="403">
        <v>2.7E-2</v>
      </c>
      <c r="R38" s="437">
        <v>0.97299999999999998</v>
      </c>
      <c r="S38" s="496">
        <v>0.34100000000000003</v>
      </c>
      <c r="T38" s="488">
        <v>7.3100000000000005E-16</v>
      </c>
      <c r="U38" s="417" t="s">
        <v>2412</v>
      </c>
      <c r="V38" s="379" t="s">
        <v>28</v>
      </c>
      <c r="W38" s="403" t="s">
        <v>28</v>
      </c>
      <c r="X38" s="437" t="s">
        <v>28</v>
      </c>
      <c r="Y38" s="458">
        <v>66</v>
      </c>
      <c r="Z38" s="459" t="s">
        <v>2362</v>
      </c>
    </row>
    <row r="39" spans="2:26" x14ac:dyDescent="0.2">
      <c r="B39" s="436" t="s">
        <v>775</v>
      </c>
      <c r="C39" s="379">
        <v>11</v>
      </c>
      <c r="D39" s="380">
        <v>65601112</v>
      </c>
      <c r="E39" s="380">
        <v>65624367</v>
      </c>
      <c r="F39" s="459" t="s">
        <v>903</v>
      </c>
      <c r="G39" s="496">
        <v>0.108</v>
      </c>
      <c r="H39" s="488">
        <v>1.6300000000000001E-10</v>
      </c>
      <c r="I39" s="420" t="s">
        <v>2411</v>
      </c>
      <c r="J39" s="380">
        <v>1</v>
      </c>
      <c r="K39" s="403">
        <v>4.0000000000000001E-3</v>
      </c>
      <c r="L39" s="437">
        <v>0.996</v>
      </c>
      <c r="M39" s="496">
        <v>7.5999999999999998E-2</v>
      </c>
      <c r="N39" s="488">
        <v>6.7199999999999996E-12</v>
      </c>
      <c r="O39" s="420" t="s">
        <v>2411</v>
      </c>
      <c r="P39" s="380">
        <v>1</v>
      </c>
      <c r="Q39" s="403">
        <v>4.0000000000000001E-3</v>
      </c>
      <c r="R39" s="437">
        <v>0.996</v>
      </c>
      <c r="S39" s="496">
        <v>8.3000000000000004E-2</v>
      </c>
      <c r="T39" s="488">
        <v>1.52E-12</v>
      </c>
      <c r="U39" s="420" t="s">
        <v>2411</v>
      </c>
      <c r="V39" s="379">
        <v>1</v>
      </c>
      <c r="W39" s="403">
        <v>3.0000000000000001E-3</v>
      </c>
      <c r="X39" s="437">
        <v>0.997</v>
      </c>
      <c r="Y39" s="458">
        <v>66</v>
      </c>
      <c r="Z39" s="459" t="s">
        <v>2362</v>
      </c>
    </row>
    <row r="40" spans="2:26" x14ac:dyDescent="0.2">
      <c r="B40" s="436" t="s">
        <v>776</v>
      </c>
      <c r="C40" s="379">
        <v>11</v>
      </c>
      <c r="D40" s="380">
        <v>65647280</v>
      </c>
      <c r="E40" s="380">
        <v>65651212</v>
      </c>
      <c r="F40" s="459" t="s">
        <v>903</v>
      </c>
      <c r="G40" s="496">
        <v>-9.6000000000000002E-2</v>
      </c>
      <c r="H40" s="488">
        <v>3E-11</v>
      </c>
      <c r="I40" s="420" t="s">
        <v>2411</v>
      </c>
      <c r="J40" s="380">
        <v>2</v>
      </c>
      <c r="K40" s="403">
        <v>0.32100000000000001</v>
      </c>
      <c r="L40" s="437">
        <v>0.16700000000000001</v>
      </c>
      <c r="M40" s="496">
        <v>-9.4E-2</v>
      </c>
      <c r="N40" s="488">
        <v>2.27E-11</v>
      </c>
      <c r="O40" s="420" t="s">
        <v>2411</v>
      </c>
      <c r="P40" s="380">
        <v>1</v>
      </c>
      <c r="Q40" s="403">
        <v>0.95299999999999996</v>
      </c>
      <c r="R40" s="437">
        <v>4.7E-2</v>
      </c>
      <c r="S40" s="496">
        <v>-8.1000000000000003E-2</v>
      </c>
      <c r="T40" s="488">
        <v>7.3699999999999999E-13</v>
      </c>
      <c r="U40" s="420" t="s">
        <v>2411</v>
      </c>
      <c r="V40" s="379">
        <v>1</v>
      </c>
      <c r="W40" s="403">
        <v>0.95299999999999996</v>
      </c>
      <c r="X40" s="437">
        <v>4.7E-2</v>
      </c>
      <c r="Y40" s="458">
        <v>66</v>
      </c>
      <c r="Z40" s="459" t="s">
        <v>2362</v>
      </c>
    </row>
    <row r="41" spans="2:26" x14ac:dyDescent="0.2">
      <c r="B41" s="440" t="s">
        <v>778</v>
      </c>
      <c r="C41" s="374">
        <v>11</v>
      </c>
      <c r="D41" s="375">
        <v>120107349</v>
      </c>
      <c r="E41" s="375">
        <v>120190653</v>
      </c>
      <c r="F41" s="463" t="s">
        <v>903</v>
      </c>
      <c r="G41" s="498" t="s">
        <v>741</v>
      </c>
      <c r="H41" s="490" t="s">
        <v>741</v>
      </c>
      <c r="I41" s="421" t="s">
        <v>28</v>
      </c>
      <c r="J41" s="375" t="s">
        <v>28</v>
      </c>
      <c r="K41" s="407" t="s">
        <v>28</v>
      </c>
      <c r="L41" s="441" t="s">
        <v>28</v>
      </c>
      <c r="M41" s="498" t="s">
        <v>741</v>
      </c>
      <c r="N41" s="490" t="s">
        <v>741</v>
      </c>
      <c r="O41" s="421" t="s">
        <v>28</v>
      </c>
      <c r="P41" s="375" t="s">
        <v>28</v>
      </c>
      <c r="Q41" s="407" t="s">
        <v>28</v>
      </c>
      <c r="R41" s="441" t="s">
        <v>28</v>
      </c>
      <c r="S41" s="498">
        <v>7.1999999999999995E-2</v>
      </c>
      <c r="T41" s="490">
        <v>1.9300000000000002E-6</v>
      </c>
      <c r="U41" s="421" t="s">
        <v>2411</v>
      </c>
      <c r="V41" s="374">
        <v>2</v>
      </c>
      <c r="W41" s="407">
        <v>2E-3</v>
      </c>
      <c r="X41" s="441">
        <v>0.998</v>
      </c>
      <c r="Y41" s="462">
        <v>69</v>
      </c>
      <c r="Z41" s="463" t="s">
        <v>2362</v>
      </c>
    </row>
    <row r="42" spans="2:26" x14ac:dyDescent="0.2">
      <c r="B42" s="436" t="s">
        <v>779</v>
      </c>
      <c r="C42" s="379">
        <v>12</v>
      </c>
      <c r="D42" s="380">
        <v>10564911</v>
      </c>
      <c r="E42" s="380">
        <v>10573194</v>
      </c>
      <c r="F42" s="459" t="s">
        <v>903</v>
      </c>
      <c r="G42" s="496">
        <v>-0.11899999999999999</v>
      </c>
      <c r="H42" s="488">
        <v>1.05E-10</v>
      </c>
      <c r="I42" s="417" t="s">
        <v>2411</v>
      </c>
      <c r="J42" s="380">
        <v>1</v>
      </c>
      <c r="K42" s="403">
        <v>0.01</v>
      </c>
      <c r="L42" s="437">
        <v>0.99</v>
      </c>
      <c r="M42" s="496" t="s">
        <v>741</v>
      </c>
      <c r="N42" s="488" t="s">
        <v>741</v>
      </c>
      <c r="O42" s="417" t="s">
        <v>28</v>
      </c>
      <c r="P42" s="380" t="s">
        <v>28</v>
      </c>
      <c r="Q42" s="403" t="s">
        <v>28</v>
      </c>
      <c r="R42" s="437" t="s">
        <v>28</v>
      </c>
      <c r="S42" s="496" t="s">
        <v>741</v>
      </c>
      <c r="T42" s="488" t="s">
        <v>741</v>
      </c>
      <c r="U42" s="417" t="s">
        <v>28</v>
      </c>
      <c r="V42" s="379" t="s">
        <v>28</v>
      </c>
      <c r="W42" s="403" t="s">
        <v>28</v>
      </c>
      <c r="X42" s="437" t="s">
        <v>28</v>
      </c>
      <c r="Y42" s="458">
        <v>73</v>
      </c>
      <c r="Z42" s="459" t="s">
        <v>2362</v>
      </c>
    </row>
    <row r="43" spans="2:26" x14ac:dyDescent="0.2">
      <c r="B43" s="436" t="s">
        <v>780</v>
      </c>
      <c r="C43" s="379">
        <v>12</v>
      </c>
      <c r="D43" s="380">
        <v>10594863</v>
      </c>
      <c r="E43" s="380">
        <v>10607284</v>
      </c>
      <c r="F43" s="459" t="s">
        <v>903</v>
      </c>
      <c r="G43" s="496">
        <v>-0.13600000000000001</v>
      </c>
      <c r="H43" s="488">
        <v>2.6799999999999998E-9</v>
      </c>
      <c r="I43" s="417" t="s">
        <v>2411</v>
      </c>
      <c r="J43" s="380">
        <v>1</v>
      </c>
      <c r="K43" s="403">
        <v>0.44500000000000001</v>
      </c>
      <c r="L43" s="437">
        <v>0.55500000000000005</v>
      </c>
      <c r="M43" s="496" t="s">
        <v>741</v>
      </c>
      <c r="N43" s="488" t="s">
        <v>741</v>
      </c>
      <c r="O43" s="417" t="s">
        <v>28</v>
      </c>
      <c r="P43" s="380" t="s">
        <v>28</v>
      </c>
      <c r="Q43" s="403" t="s">
        <v>28</v>
      </c>
      <c r="R43" s="437" t="s">
        <v>28</v>
      </c>
      <c r="S43" s="496" t="s">
        <v>741</v>
      </c>
      <c r="T43" s="488" t="s">
        <v>741</v>
      </c>
      <c r="U43" s="417" t="s">
        <v>28</v>
      </c>
      <c r="V43" s="379" t="s">
        <v>28</v>
      </c>
      <c r="W43" s="403" t="s">
        <v>28</v>
      </c>
      <c r="X43" s="437" t="s">
        <v>28</v>
      </c>
      <c r="Y43" s="458">
        <v>73</v>
      </c>
      <c r="Z43" s="459" t="s">
        <v>2362</v>
      </c>
    </row>
    <row r="44" spans="2:26" x14ac:dyDescent="0.2">
      <c r="B44" s="442" t="s">
        <v>781</v>
      </c>
      <c r="C44" s="382">
        <v>12</v>
      </c>
      <c r="D44" s="383">
        <v>56390964</v>
      </c>
      <c r="E44" s="383">
        <v>56400425</v>
      </c>
      <c r="F44" s="465" t="s">
        <v>903</v>
      </c>
      <c r="G44" s="500">
        <v>-0.23100000000000001</v>
      </c>
      <c r="H44" s="492">
        <v>3.6900000000000002E-24</v>
      </c>
      <c r="I44" s="422" t="s">
        <v>2411</v>
      </c>
      <c r="J44" s="383">
        <v>1</v>
      </c>
      <c r="K44" s="408">
        <v>3.3000000000000002E-2</v>
      </c>
      <c r="L44" s="443">
        <v>0.96699999999999997</v>
      </c>
      <c r="M44" s="500">
        <v>-0.123</v>
      </c>
      <c r="N44" s="492">
        <v>1.32E-21</v>
      </c>
      <c r="O44" s="422" t="s">
        <v>2411</v>
      </c>
      <c r="P44" s="383">
        <v>1</v>
      </c>
      <c r="Q44" s="408">
        <v>5.8999999999999997E-2</v>
      </c>
      <c r="R44" s="443">
        <v>0.94099999999999995</v>
      </c>
      <c r="S44" s="500">
        <v>-0.154</v>
      </c>
      <c r="T44" s="492">
        <v>2.32E-20</v>
      </c>
      <c r="U44" s="422" t="s">
        <v>2411</v>
      </c>
      <c r="V44" s="382">
        <v>1</v>
      </c>
      <c r="W44" s="408">
        <v>1E-3</v>
      </c>
      <c r="X44" s="443">
        <v>0.999</v>
      </c>
      <c r="Y44" s="464">
        <v>74</v>
      </c>
      <c r="Z44" s="465" t="s">
        <v>2362</v>
      </c>
    </row>
    <row r="45" spans="2:26" x14ac:dyDescent="0.2">
      <c r="B45" s="444" t="s">
        <v>782</v>
      </c>
      <c r="C45" s="384">
        <v>12</v>
      </c>
      <c r="D45" s="385">
        <v>56435637</v>
      </c>
      <c r="E45" s="385">
        <v>56438116</v>
      </c>
      <c r="F45" s="467" t="s">
        <v>903</v>
      </c>
      <c r="G45" s="501">
        <v>9.5000000000000001E-2</v>
      </c>
      <c r="H45" s="493">
        <v>5.8599999999999994E-23</v>
      </c>
      <c r="I45" s="423" t="s">
        <v>2411</v>
      </c>
      <c r="J45" s="385">
        <v>2</v>
      </c>
      <c r="K45" s="404">
        <v>1E-3</v>
      </c>
      <c r="L45" s="445">
        <v>0.999</v>
      </c>
      <c r="M45" s="501">
        <v>7.9000000000000001E-2</v>
      </c>
      <c r="N45" s="493">
        <v>1.54E-21</v>
      </c>
      <c r="O45" s="423" t="s">
        <v>2411</v>
      </c>
      <c r="P45" s="385">
        <v>1</v>
      </c>
      <c r="Q45" s="404">
        <v>1E-3</v>
      </c>
      <c r="R45" s="445">
        <v>0.999</v>
      </c>
      <c r="S45" s="501">
        <v>7.8E-2</v>
      </c>
      <c r="T45" s="493">
        <v>5.98E-23</v>
      </c>
      <c r="U45" s="423" t="s">
        <v>2411</v>
      </c>
      <c r="V45" s="384">
        <v>1</v>
      </c>
      <c r="W45" s="404">
        <v>1E-3</v>
      </c>
      <c r="X45" s="445">
        <v>0.999</v>
      </c>
      <c r="Y45" s="466">
        <v>74</v>
      </c>
      <c r="Z45" s="467" t="s">
        <v>2362</v>
      </c>
    </row>
    <row r="46" spans="2:26" x14ac:dyDescent="0.2">
      <c r="B46" s="446" t="s">
        <v>783</v>
      </c>
      <c r="C46" s="386">
        <v>12</v>
      </c>
      <c r="D46" s="387">
        <v>56703626</v>
      </c>
      <c r="E46" s="387">
        <v>56710120</v>
      </c>
      <c r="F46" s="469" t="s">
        <v>903</v>
      </c>
      <c r="G46" s="502" t="s">
        <v>741</v>
      </c>
      <c r="H46" s="494" t="s">
        <v>741</v>
      </c>
      <c r="I46" s="426" t="s">
        <v>28</v>
      </c>
      <c r="J46" s="387" t="s">
        <v>28</v>
      </c>
      <c r="K46" s="406" t="s">
        <v>28</v>
      </c>
      <c r="L46" s="447" t="s">
        <v>28</v>
      </c>
      <c r="M46" s="502">
        <v>-1.151</v>
      </c>
      <c r="N46" s="494">
        <v>1.47E-37</v>
      </c>
      <c r="O46" s="426" t="s">
        <v>2411</v>
      </c>
      <c r="P46" s="387">
        <v>1</v>
      </c>
      <c r="Q46" s="406">
        <v>0.109</v>
      </c>
      <c r="R46" s="447">
        <v>0.83099999999999996</v>
      </c>
      <c r="S46" s="502" t="s">
        <v>741</v>
      </c>
      <c r="T46" s="494" t="s">
        <v>741</v>
      </c>
      <c r="U46" s="426" t="s">
        <v>28</v>
      </c>
      <c r="V46" s="386" t="s">
        <v>28</v>
      </c>
      <c r="W46" s="406" t="s">
        <v>28</v>
      </c>
      <c r="X46" s="447" t="s">
        <v>28</v>
      </c>
      <c r="Y46" s="468">
        <v>74</v>
      </c>
      <c r="Z46" s="469" t="s">
        <v>2362</v>
      </c>
    </row>
    <row r="47" spans="2:26" x14ac:dyDescent="0.2">
      <c r="B47" s="436" t="s">
        <v>789</v>
      </c>
      <c r="C47" s="379">
        <v>16</v>
      </c>
      <c r="D47" s="380">
        <v>30996519</v>
      </c>
      <c r="E47" s="380">
        <v>31000473</v>
      </c>
      <c r="F47" s="459" t="s">
        <v>903</v>
      </c>
      <c r="G47" s="496">
        <v>-0.218</v>
      </c>
      <c r="H47" s="488">
        <v>7.4199999999999997E-13</v>
      </c>
      <c r="I47" s="420" t="s">
        <v>2411</v>
      </c>
      <c r="J47" s="380">
        <v>1</v>
      </c>
      <c r="K47" s="403">
        <v>0.77500000000000002</v>
      </c>
      <c r="L47" s="437">
        <v>0.224</v>
      </c>
      <c r="M47" s="496">
        <v>0.10199999999999999</v>
      </c>
      <c r="N47" s="488">
        <v>3.81E-15</v>
      </c>
      <c r="O47" s="420" t="s">
        <v>2411</v>
      </c>
      <c r="P47" s="380">
        <v>1</v>
      </c>
      <c r="Q47" s="403">
        <v>5.2999999999999999E-2</v>
      </c>
      <c r="R47" s="437">
        <v>0.94699999999999995</v>
      </c>
      <c r="S47" s="496">
        <v>0.124</v>
      </c>
      <c r="T47" s="488">
        <v>3.0400000000000001E-16</v>
      </c>
      <c r="U47" s="420" t="s">
        <v>2411</v>
      </c>
      <c r="V47" s="379">
        <v>1</v>
      </c>
      <c r="W47" s="403">
        <v>5.7000000000000002E-2</v>
      </c>
      <c r="X47" s="437">
        <v>0.94299999999999995</v>
      </c>
      <c r="Y47" s="458">
        <v>88</v>
      </c>
      <c r="Z47" s="459" t="s">
        <v>1938</v>
      </c>
    </row>
    <row r="48" spans="2:26" x14ac:dyDescent="0.2">
      <c r="B48" s="436" t="s">
        <v>790</v>
      </c>
      <c r="C48" s="379">
        <v>16</v>
      </c>
      <c r="D48" s="380">
        <v>31000577</v>
      </c>
      <c r="E48" s="380">
        <v>31021949</v>
      </c>
      <c r="F48" s="459" t="s">
        <v>903</v>
      </c>
      <c r="G48" s="496" t="s">
        <v>741</v>
      </c>
      <c r="H48" s="488" t="s">
        <v>741</v>
      </c>
      <c r="I48" s="420" t="s">
        <v>28</v>
      </c>
      <c r="J48" s="380" t="s">
        <v>28</v>
      </c>
      <c r="K48" s="403" t="s">
        <v>28</v>
      </c>
      <c r="L48" s="437" t="s">
        <v>28</v>
      </c>
      <c r="M48" s="496">
        <v>0.25900000000000001</v>
      </c>
      <c r="N48" s="488">
        <v>1.54E-13</v>
      </c>
      <c r="O48" s="420" t="s">
        <v>2411</v>
      </c>
      <c r="P48" s="380">
        <v>1</v>
      </c>
      <c r="Q48" s="403">
        <v>0.13600000000000001</v>
      </c>
      <c r="R48" s="437">
        <v>0.86399999999999999</v>
      </c>
      <c r="S48" s="496" t="s">
        <v>741</v>
      </c>
      <c r="T48" s="488" t="s">
        <v>741</v>
      </c>
      <c r="U48" s="420" t="s">
        <v>28</v>
      </c>
      <c r="V48" s="379" t="s">
        <v>28</v>
      </c>
      <c r="W48" s="403" t="s">
        <v>28</v>
      </c>
      <c r="X48" s="437" t="s">
        <v>28</v>
      </c>
      <c r="Y48" s="458">
        <v>88</v>
      </c>
      <c r="Z48" s="459" t="s">
        <v>2362</v>
      </c>
    </row>
    <row r="49" spans="2:26" x14ac:dyDescent="0.2">
      <c r="B49" s="436" t="s">
        <v>791</v>
      </c>
      <c r="C49" s="379">
        <v>16</v>
      </c>
      <c r="D49" s="380">
        <v>31054471</v>
      </c>
      <c r="E49" s="380">
        <v>31061201</v>
      </c>
      <c r="F49" s="459" t="s">
        <v>905</v>
      </c>
      <c r="G49" s="496">
        <v>0.27100000000000002</v>
      </c>
      <c r="H49" s="488">
        <v>3.81E-15</v>
      </c>
      <c r="I49" s="420" t="s">
        <v>2411</v>
      </c>
      <c r="J49" s="380">
        <v>1</v>
      </c>
      <c r="K49" s="403">
        <v>0.13400000000000001</v>
      </c>
      <c r="L49" s="437">
        <v>0.86599999999999999</v>
      </c>
      <c r="M49" s="496">
        <v>0.124</v>
      </c>
      <c r="N49" s="488">
        <v>4.9600000000000001E-15</v>
      </c>
      <c r="O49" s="420" t="s">
        <v>2411</v>
      </c>
      <c r="P49" s="380">
        <v>1</v>
      </c>
      <c r="Q49" s="403">
        <v>0.156</v>
      </c>
      <c r="R49" s="437">
        <v>0.84399999999999997</v>
      </c>
      <c r="S49" s="496">
        <v>9.7000000000000003E-2</v>
      </c>
      <c r="T49" s="488">
        <v>1.2699999999999999E-13</v>
      </c>
      <c r="U49" s="420" t="s">
        <v>2411</v>
      </c>
      <c r="V49" s="379">
        <v>1</v>
      </c>
      <c r="W49" s="403">
        <v>0.19700000000000001</v>
      </c>
      <c r="X49" s="437">
        <v>0.80300000000000005</v>
      </c>
      <c r="Y49" s="458">
        <v>88</v>
      </c>
      <c r="Z49" s="459" t="s">
        <v>2362</v>
      </c>
    </row>
    <row r="50" spans="2:26" x14ac:dyDescent="0.2">
      <c r="B50" s="436" t="s">
        <v>792</v>
      </c>
      <c r="C50" s="379">
        <v>16</v>
      </c>
      <c r="D50" s="380">
        <v>31085743</v>
      </c>
      <c r="E50" s="380">
        <v>31095517</v>
      </c>
      <c r="F50" s="459" t="s">
        <v>903</v>
      </c>
      <c r="G50" s="496">
        <v>-0.105</v>
      </c>
      <c r="H50" s="488">
        <v>1.15E-7</v>
      </c>
      <c r="I50" s="420" t="s">
        <v>2412</v>
      </c>
      <c r="J50" s="380" t="s">
        <v>28</v>
      </c>
      <c r="K50" s="403" t="s">
        <v>28</v>
      </c>
      <c r="L50" s="437" t="s">
        <v>28</v>
      </c>
      <c r="M50" s="496">
        <v>0.20799999999999999</v>
      </c>
      <c r="N50" s="488">
        <v>7.5599999999999996E-16</v>
      </c>
      <c r="O50" s="420" t="s">
        <v>2411</v>
      </c>
      <c r="P50" s="380">
        <v>1</v>
      </c>
      <c r="Q50" s="403">
        <v>0.14299999999999999</v>
      </c>
      <c r="R50" s="437">
        <v>0.85699999999999998</v>
      </c>
      <c r="S50" s="496">
        <v>0.129</v>
      </c>
      <c r="T50" s="488">
        <v>6.1500000000000002E-12</v>
      </c>
      <c r="U50" s="420" t="s">
        <v>2411</v>
      </c>
      <c r="V50" s="379">
        <v>1</v>
      </c>
      <c r="W50" s="403">
        <v>7.9000000000000001E-2</v>
      </c>
      <c r="X50" s="437">
        <v>0.92100000000000004</v>
      </c>
      <c r="Y50" s="458">
        <v>88</v>
      </c>
      <c r="Z50" s="459" t="s">
        <v>2362</v>
      </c>
    </row>
    <row r="51" spans="2:26" x14ac:dyDescent="0.2">
      <c r="B51" s="436" t="s">
        <v>793</v>
      </c>
      <c r="C51" s="379">
        <v>16</v>
      </c>
      <c r="D51" s="380">
        <v>31094746</v>
      </c>
      <c r="E51" s="380">
        <v>31100949</v>
      </c>
      <c r="F51" s="459" t="s">
        <v>903</v>
      </c>
      <c r="G51" s="496">
        <v>-0.27400000000000002</v>
      </c>
      <c r="H51" s="488">
        <v>1.17E-16</v>
      </c>
      <c r="I51" s="417" t="s">
        <v>2411</v>
      </c>
      <c r="J51" s="380">
        <v>1</v>
      </c>
      <c r="K51" s="403">
        <v>0.107</v>
      </c>
      <c r="L51" s="437">
        <v>0.89300000000000002</v>
      </c>
      <c r="M51" s="496">
        <v>0.308</v>
      </c>
      <c r="N51" s="488">
        <v>1.55E-14</v>
      </c>
      <c r="O51" s="417" t="s">
        <v>2412</v>
      </c>
      <c r="P51" s="380" t="s">
        <v>28</v>
      </c>
      <c r="Q51" s="403" t="s">
        <v>28</v>
      </c>
      <c r="R51" s="437" t="s">
        <v>28</v>
      </c>
      <c r="S51" s="496" t="s">
        <v>741</v>
      </c>
      <c r="T51" s="488" t="s">
        <v>741</v>
      </c>
      <c r="U51" s="417" t="s">
        <v>28</v>
      </c>
      <c r="V51" s="379" t="s">
        <v>28</v>
      </c>
      <c r="W51" s="403" t="s">
        <v>28</v>
      </c>
      <c r="X51" s="437" t="s">
        <v>28</v>
      </c>
      <c r="Y51" s="458">
        <v>88</v>
      </c>
      <c r="Z51" s="459" t="s">
        <v>1938</v>
      </c>
    </row>
    <row r="52" spans="2:26" x14ac:dyDescent="0.2">
      <c r="B52" s="436" t="s">
        <v>794</v>
      </c>
      <c r="C52" s="379">
        <v>16</v>
      </c>
      <c r="D52" s="380">
        <v>31102163</v>
      </c>
      <c r="E52" s="380">
        <v>31107301</v>
      </c>
      <c r="F52" s="459" t="s">
        <v>903</v>
      </c>
      <c r="G52" s="496">
        <v>-0.158</v>
      </c>
      <c r="H52" s="488">
        <v>5.0599999999999998E-12</v>
      </c>
      <c r="I52" s="420" t="s">
        <v>2411</v>
      </c>
      <c r="J52" s="380">
        <v>1</v>
      </c>
      <c r="K52" s="403">
        <v>0.17</v>
      </c>
      <c r="L52" s="437">
        <v>0.83</v>
      </c>
      <c r="M52" s="496">
        <v>0.20300000000000001</v>
      </c>
      <c r="N52" s="488">
        <v>1.82E-15</v>
      </c>
      <c r="O52" s="420" t="s">
        <v>2411</v>
      </c>
      <c r="P52" s="380">
        <v>1</v>
      </c>
      <c r="Q52" s="403">
        <v>0.122</v>
      </c>
      <c r="R52" s="437">
        <v>0.878</v>
      </c>
      <c r="S52" s="496">
        <v>0.16</v>
      </c>
      <c r="T52" s="488">
        <v>8.2699999999999993E-12</v>
      </c>
      <c r="U52" s="420" t="s">
        <v>2411</v>
      </c>
      <c r="V52" s="379">
        <v>1</v>
      </c>
      <c r="W52" s="403">
        <v>7.4999999999999997E-2</v>
      </c>
      <c r="X52" s="437">
        <v>0.92500000000000004</v>
      </c>
      <c r="Y52" s="458">
        <v>88</v>
      </c>
      <c r="Z52" s="459" t="s">
        <v>2362</v>
      </c>
    </row>
    <row r="53" spans="2:26" x14ac:dyDescent="0.2">
      <c r="B53" s="436" t="s">
        <v>795</v>
      </c>
      <c r="C53" s="379">
        <v>16</v>
      </c>
      <c r="D53" s="380">
        <v>31127075</v>
      </c>
      <c r="E53" s="380">
        <v>31142714</v>
      </c>
      <c r="F53" s="459" t="s">
        <v>903</v>
      </c>
      <c r="G53" s="496" t="s">
        <v>741</v>
      </c>
      <c r="H53" s="488" t="s">
        <v>741</v>
      </c>
      <c r="I53" s="417" t="s">
        <v>28</v>
      </c>
      <c r="J53" s="380" t="s">
        <v>28</v>
      </c>
      <c r="K53" s="403" t="s">
        <v>28</v>
      </c>
      <c r="L53" s="437" t="s">
        <v>28</v>
      </c>
      <c r="M53" s="496">
        <v>9.5000000000000001E-2</v>
      </c>
      <c r="N53" s="488">
        <v>4.0300000000000001E-18</v>
      </c>
      <c r="O53" s="417" t="s">
        <v>2411</v>
      </c>
      <c r="P53" s="380">
        <v>2</v>
      </c>
      <c r="Q53" s="403">
        <v>0.25900000000000001</v>
      </c>
      <c r="R53" s="437">
        <v>0.74099999999999999</v>
      </c>
      <c r="S53" s="496">
        <v>0.121</v>
      </c>
      <c r="T53" s="488">
        <v>4.3000000000000002E-18</v>
      </c>
      <c r="U53" s="417" t="s">
        <v>2411</v>
      </c>
      <c r="V53" s="379">
        <v>2</v>
      </c>
      <c r="W53" s="403">
        <v>0.22900000000000001</v>
      </c>
      <c r="X53" s="437">
        <v>0.77100000000000002</v>
      </c>
      <c r="Y53" s="458">
        <v>88</v>
      </c>
      <c r="Z53" s="459" t="s">
        <v>2362</v>
      </c>
    </row>
    <row r="54" spans="2:26" x14ac:dyDescent="0.2">
      <c r="B54" s="442" t="s">
        <v>796</v>
      </c>
      <c r="C54" s="382">
        <v>17</v>
      </c>
      <c r="D54" s="383">
        <v>4534197</v>
      </c>
      <c r="E54" s="383">
        <v>4545589</v>
      </c>
      <c r="F54" s="465" t="s">
        <v>903</v>
      </c>
      <c r="G54" s="500">
        <v>-0.193</v>
      </c>
      <c r="H54" s="492">
        <v>5.0200000000000002E-7</v>
      </c>
      <c r="I54" s="422" t="s">
        <v>2411</v>
      </c>
      <c r="J54" s="383">
        <v>1</v>
      </c>
      <c r="K54" s="408">
        <v>0.24</v>
      </c>
      <c r="L54" s="443">
        <v>0.76</v>
      </c>
      <c r="M54" s="500" t="s">
        <v>741</v>
      </c>
      <c r="N54" s="492" t="s">
        <v>741</v>
      </c>
      <c r="O54" s="422" t="s">
        <v>28</v>
      </c>
      <c r="P54" s="383" t="s">
        <v>28</v>
      </c>
      <c r="Q54" s="408" t="s">
        <v>28</v>
      </c>
      <c r="R54" s="443" t="s">
        <v>28</v>
      </c>
      <c r="S54" s="500" t="s">
        <v>741</v>
      </c>
      <c r="T54" s="492" t="s">
        <v>741</v>
      </c>
      <c r="U54" s="422" t="s">
        <v>28</v>
      </c>
      <c r="V54" s="382" t="s">
        <v>28</v>
      </c>
      <c r="W54" s="408" t="s">
        <v>28</v>
      </c>
      <c r="X54" s="443" t="s">
        <v>28</v>
      </c>
      <c r="Y54" s="464">
        <v>89</v>
      </c>
      <c r="Z54" s="465" t="s">
        <v>2362</v>
      </c>
    </row>
    <row r="55" spans="2:26" x14ac:dyDescent="0.2">
      <c r="B55" s="446" t="s">
        <v>797</v>
      </c>
      <c r="C55" s="386">
        <v>17</v>
      </c>
      <c r="D55" s="387">
        <v>4613784</v>
      </c>
      <c r="E55" s="387">
        <v>4624794</v>
      </c>
      <c r="F55" s="469" t="s">
        <v>903</v>
      </c>
      <c r="G55" s="502">
        <v>0.13700000000000001</v>
      </c>
      <c r="H55" s="494">
        <v>1.11E-6</v>
      </c>
      <c r="I55" s="424" t="s">
        <v>2411</v>
      </c>
      <c r="J55" s="387">
        <v>1</v>
      </c>
      <c r="K55" s="406">
        <v>0.158</v>
      </c>
      <c r="L55" s="447">
        <v>0.84099999999999997</v>
      </c>
      <c r="M55" s="502" t="s">
        <v>741</v>
      </c>
      <c r="N55" s="494" t="s">
        <v>741</v>
      </c>
      <c r="O55" s="424" t="s">
        <v>28</v>
      </c>
      <c r="P55" s="387" t="s">
        <v>28</v>
      </c>
      <c r="Q55" s="406" t="s">
        <v>28</v>
      </c>
      <c r="R55" s="447" t="s">
        <v>28</v>
      </c>
      <c r="S55" s="502" t="s">
        <v>741</v>
      </c>
      <c r="T55" s="494" t="s">
        <v>741</v>
      </c>
      <c r="U55" s="424" t="s">
        <v>28</v>
      </c>
      <c r="V55" s="386" t="s">
        <v>28</v>
      </c>
      <c r="W55" s="406" t="s">
        <v>28</v>
      </c>
      <c r="X55" s="447" t="s">
        <v>28</v>
      </c>
      <c r="Y55" s="468">
        <v>89</v>
      </c>
      <c r="Z55" s="469" t="s">
        <v>2362</v>
      </c>
    </row>
    <row r="56" spans="2:26" x14ac:dyDescent="0.2">
      <c r="B56" s="436" t="s">
        <v>798</v>
      </c>
      <c r="C56" s="379">
        <v>17</v>
      </c>
      <c r="D56" s="380">
        <v>26205340</v>
      </c>
      <c r="E56" s="380">
        <v>26221778</v>
      </c>
      <c r="F56" s="459" t="s">
        <v>903</v>
      </c>
      <c r="G56" s="496">
        <v>-0.16600000000000001</v>
      </c>
      <c r="H56" s="488">
        <v>4.6199999999999997E-8</v>
      </c>
      <c r="I56" s="417" t="s">
        <v>2411</v>
      </c>
      <c r="J56" s="380">
        <v>1</v>
      </c>
      <c r="K56" s="403">
        <v>7.6999999999999999E-2</v>
      </c>
      <c r="L56" s="437">
        <v>0.90300000000000002</v>
      </c>
      <c r="M56" s="496" t="s">
        <v>741</v>
      </c>
      <c r="N56" s="488" t="s">
        <v>741</v>
      </c>
      <c r="O56" s="417" t="s">
        <v>28</v>
      </c>
      <c r="P56" s="380" t="s">
        <v>28</v>
      </c>
      <c r="Q56" s="403" t="s">
        <v>28</v>
      </c>
      <c r="R56" s="437" t="s">
        <v>28</v>
      </c>
      <c r="S56" s="496" t="s">
        <v>741</v>
      </c>
      <c r="T56" s="488" t="s">
        <v>741</v>
      </c>
      <c r="U56" s="417" t="s">
        <v>28</v>
      </c>
      <c r="V56" s="379" t="s">
        <v>28</v>
      </c>
      <c r="W56" s="403" t="s">
        <v>28</v>
      </c>
      <c r="X56" s="437" t="s">
        <v>28</v>
      </c>
      <c r="Y56" s="458">
        <v>90</v>
      </c>
      <c r="Z56" s="459" t="s">
        <v>2362</v>
      </c>
    </row>
    <row r="57" spans="2:26" x14ac:dyDescent="0.2">
      <c r="B57" s="476" t="s">
        <v>800</v>
      </c>
      <c r="C57" s="382">
        <v>17</v>
      </c>
      <c r="D57" s="383">
        <v>40465342</v>
      </c>
      <c r="E57" s="383">
        <v>40540586</v>
      </c>
      <c r="F57" s="465" t="s">
        <v>903</v>
      </c>
      <c r="G57" s="500" t="s">
        <v>741</v>
      </c>
      <c r="H57" s="492" t="s">
        <v>741</v>
      </c>
      <c r="I57" s="422" t="s">
        <v>28</v>
      </c>
      <c r="J57" s="383" t="s">
        <v>28</v>
      </c>
      <c r="K57" s="408" t="s">
        <v>28</v>
      </c>
      <c r="L57" s="443" t="s">
        <v>28</v>
      </c>
      <c r="M57" s="500">
        <v>-0.151</v>
      </c>
      <c r="N57" s="492">
        <v>2.1600000000000001E-6</v>
      </c>
      <c r="O57" s="422" t="s">
        <v>2411</v>
      </c>
      <c r="P57" s="383">
        <v>1</v>
      </c>
      <c r="Q57" s="408">
        <v>0.35699999999999998</v>
      </c>
      <c r="R57" s="443">
        <v>0.56799999999999995</v>
      </c>
      <c r="S57" s="500" t="s">
        <v>741</v>
      </c>
      <c r="T57" s="492" t="s">
        <v>741</v>
      </c>
      <c r="U57" s="422" t="s">
        <v>28</v>
      </c>
      <c r="V57" s="382" t="s">
        <v>28</v>
      </c>
      <c r="W57" s="408" t="s">
        <v>28</v>
      </c>
      <c r="X57" s="443" t="s">
        <v>28</v>
      </c>
      <c r="Y57" s="464">
        <v>91</v>
      </c>
      <c r="Z57" s="465" t="s">
        <v>1938</v>
      </c>
    </row>
    <row r="58" spans="2:26" x14ac:dyDescent="0.2">
      <c r="B58" s="446" t="s">
        <v>801</v>
      </c>
      <c r="C58" s="386">
        <v>17</v>
      </c>
      <c r="D58" s="387">
        <v>40834631</v>
      </c>
      <c r="E58" s="387">
        <v>40851832</v>
      </c>
      <c r="F58" s="469" t="s">
        <v>903</v>
      </c>
      <c r="G58" s="502" t="s">
        <v>741</v>
      </c>
      <c r="H58" s="494" t="s">
        <v>741</v>
      </c>
      <c r="I58" s="424" t="s">
        <v>28</v>
      </c>
      <c r="J58" s="387" t="s">
        <v>28</v>
      </c>
      <c r="K58" s="406" t="s">
        <v>28</v>
      </c>
      <c r="L58" s="447" t="s">
        <v>28</v>
      </c>
      <c r="M58" s="502">
        <v>0.189</v>
      </c>
      <c r="N58" s="494">
        <v>1.99E-7</v>
      </c>
      <c r="O58" s="424" t="s">
        <v>2411</v>
      </c>
      <c r="P58" s="387">
        <v>1</v>
      </c>
      <c r="Q58" s="406">
        <v>0.46500000000000002</v>
      </c>
      <c r="R58" s="447">
        <v>0.38100000000000001</v>
      </c>
      <c r="S58" s="502" t="s">
        <v>741</v>
      </c>
      <c r="T58" s="494" t="s">
        <v>741</v>
      </c>
      <c r="U58" s="424" t="s">
        <v>28</v>
      </c>
      <c r="V58" s="386" t="s">
        <v>28</v>
      </c>
      <c r="W58" s="406" t="s">
        <v>28</v>
      </c>
      <c r="X58" s="447" t="s">
        <v>28</v>
      </c>
      <c r="Y58" s="468">
        <v>91</v>
      </c>
      <c r="Z58" s="469" t="s">
        <v>2362</v>
      </c>
    </row>
    <row r="59" spans="2:26" x14ac:dyDescent="0.2">
      <c r="B59" s="436" t="s">
        <v>802</v>
      </c>
      <c r="C59" s="379">
        <v>17</v>
      </c>
      <c r="D59" s="380">
        <v>73876416</v>
      </c>
      <c r="E59" s="380">
        <v>73893084</v>
      </c>
      <c r="F59" s="459" t="s">
        <v>903</v>
      </c>
      <c r="G59" s="496" t="s">
        <v>741</v>
      </c>
      <c r="H59" s="488" t="s">
        <v>741</v>
      </c>
      <c r="I59" s="417" t="s">
        <v>28</v>
      </c>
      <c r="J59" s="380" t="s">
        <v>28</v>
      </c>
      <c r="K59" s="403" t="s">
        <v>28</v>
      </c>
      <c r="L59" s="437" t="s">
        <v>28</v>
      </c>
      <c r="M59" s="496">
        <v>0.14899999999999999</v>
      </c>
      <c r="N59" s="488">
        <v>4.2899999999999999E-7</v>
      </c>
      <c r="O59" s="417" t="s">
        <v>2411</v>
      </c>
      <c r="P59" s="380">
        <v>2</v>
      </c>
      <c r="Q59" s="403">
        <v>0.44</v>
      </c>
      <c r="R59" s="437">
        <v>0.55800000000000005</v>
      </c>
      <c r="S59" s="496" t="s">
        <v>741</v>
      </c>
      <c r="T59" s="488" t="s">
        <v>741</v>
      </c>
      <c r="U59" s="417" t="s">
        <v>28</v>
      </c>
      <c r="V59" s="379" t="s">
        <v>28</v>
      </c>
      <c r="W59" s="403" t="s">
        <v>28</v>
      </c>
      <c r="X59" s="437" t="s">
        <v>28</v>
      </c>
      <c r="Y59" s="458">
        <v>92</v>
      </c>
      <c r="Z59" s="459" t="s">
        <v>1938</v>
      </c>
    </row>
    <row r="60" spans="2:26" x14ac:dyDescent="0.2">
      <c r="B60" s="440" t="s">
        <v>804</v>
      </c>
      <c r="C60" s="374">
        <v>17</v>
      </c>
      <c r="D60" s="375">
        <v>78180515</v>
      </c>
      <c r="E60" s="375">
        <v>78194722</v>
      </c>
      <c r="F60" s="463" t="s">
        <v>903</v>
      </c>
      <c r="G60" s="498" t="s">
        <v>741</v>
      </c>
      <c r="H60" s="490" t="s">
        <v>741</v>
      </c>
      <c r="I60" s="428" t="s">
        <v>28</v>
      </c>
      <c r="J60" s="375" t="s">
        <v>28</v>
      </c>
      <c r="K60" s="407" t="s">
        <v>28</v>
      </c>
      <c r="L60" s="441" t="s">
        <v>28</v>
      </c>
      <c r="M60" s="498">
        <v>0.126</v>
      </c>
      <c r="N60" s="490">
        <v>3.6600000000000001E-13</v>
      </c>
      <c r="O60" s="428" t="s">
        <v>2411</v>
      </c>
      <c r="P60" s="375">
        <v>1</v>
      </c>
      <c r="Q60" s="407">
        <v>0.125</v>
      </c>
      <c r="R60" s="441">
        <v>0.875</v>
      </c>
      <c r="S60" s="498">
        <v>0.10100000000000001</v>
      </c>
      <c r="T60" s="490">
        <v>4.8299999999999997E-11</v>
      </c>
      <c r="U60" s="428" t="s">
        <v>2411</v>
      </c>
      <c r="V60" s="374">
        <v>2</v>
      </c>
      <c r="W60" s="407">
        <v>0.182</v>
      </c>
      <c r="X60" s="441">
        <v>0.81799999999999995</v>
      </c>
      <c r="Y60" s="462">
        <v>93</v>
      </c>
      <c r="Z60" s="463" t="s">
        <v>2362</v>
      </c>
    </row>
    <row r="61" spans="2:26" x14ac:dyDescent="0.2">
      <c r="B61" s="436" t="s">
        <v>805</v>
      </c>
      <c r="C61" s="379">
        <v>18</v>
      </c>
      <c r="D61" s="380">
        <v>12774650</v>
      </c>
      <c r="E61" s="380">
        <v>12775922</v>
      </c>
      <c r="F61" s="459" t="s">
        <v>905</v>
      </c>
      <c r="G61" s="496">
        <v>9.5000000000000001E-2</v>
      </c>
      <c r="H61" s="488">
        <v>1.72E-7</v>
      </c>
      <c r="I61" s="420" t="s">
        <v>2411</v>
      </c>
      <c r="J61" s="380">
        <v>1</v>
      </c>
      <c r="K61" s="403">
        <v>1</v>
      </c>
      <c r="L61" s="437">
        <v>0</v>
      </c>
      <c r="M61" s="496" t="s">
        <v>741</v>
      </c>
      <c r="N61" s="488" t="s">
        <v>741</v>
      </c>
      <c r="O61" s="420" t="s">
        <v>28</v>
      </c>
      <c r="P61" s="380" t="s">
        <v>28</v>
      </c>
      <c r="Q61" s="403" t="s">
        <v>28</v>
      </c>
      <c r="R61" s="437" t="s">
        <v>28</v>
      </c>
      <c r="S61" s="496">
        <v>0.215</v>
      </c>
      <c r="T61" s="488">
        <v>3.5400000000000002E-11</v>
      </c>
      <c r="U61" s="420" t="s">
        <v>2411</v>
      </c>
      <c r="V61" s="379" t="s">
        <v>2396</v>
      </c>
      <c r="W61" s="403" t="s">
        <v>2395</v>
      </c>
      <c r="X61" s="437" t="s">
        <v>2395</v>
      </c>
      <c r="Y61" s="458">
        <v>94</v>
      </c>
      <c r="Z61" s="459" t="s">
        <v>2362</v>
      </c>
    </row>
    <row r="62" spans="2:26" x14ac:dyDescent="0.2">
      <c r="B62" s="440" t="s">
        <v>806</v>
      </c>
      <c r="C62" s="374">
        <v>18</v>
      </c>
      <c r="D62" s="375">
        <v>51795774</v>
      </c>
      <c r="E62" s="375">
        <v>51847636</v>
      </c>
      <c r="F62" s="463" t="s">
        <v>903</v>
      </c>
      <c r="G62" s="498" t="s">
        <v>741</v>
      </c>
      <c r="H62" s="490" t="s">
        <v>741</v>
      </c>
      <c r="I62" s="421" t="s">
        <v>28</v>
      </c>
      <c r="J62" s="375" t="s">
        <v>28</v>
      </c>
      <c r="K62" s="407" t="s">
        <v>28</v>
      </c>
      <c r="L62" s="441" t="s">
        <v>28</v>
      </c>
      <c r="M62" s="498">
        <v>7.0000000000000007E-2</v>
      </c>
      <c r="N62" s="490">
        <v>1.0999999999999999E-10</v>
      </c>
      <c r="O62" s="421" t="s">
        <v>2411</v>
      </c>
      <c r="P62" s="375">
        <v>2</v>
      </c>
      <c r="Q62" s="407">
        <v>0.996</v>
      </c>
      <c r="R62" s="441">
        <v>0</v>
      </c>
      <c r="S62" s="498">
        <v>5.0999999999999997E-2</v>
      </c>
      <c r="T62" s="490">
        <v>4.7599999999999997E-7</v>
      </c>
      <c r="U62" s="421" t="s">
        <v>2411</v>
      </c>
      <c r="V62" s="374">
        <v>3</v>
      </c>
      <c r="W62" s="407">
        <v>0.47</v>
      </c>
      <c r="X62" s="441">
        <v>0.27600000000000002</v>
      </c>
      <c r="Y62" s="462">
        <v>95</v>
      </c>
      <c r="Z62" s="463" t="s">
        <v>1938</v>
      </c>
    </row>
    <row r="63" spans="2:26" x14ac:dyDescent="0.2">
      <c r="B63" s="436" t="s">
        <v>808</v>
      </c>
      <c r="C63" s="379">
        <v>19</v>
      </c>
      <c r="D63" s="380">
        <v>10683347</v>
      </c>
      <c r="E63" s="380">
        <v>10697991</v>
      </c>
      <c r="F63" s="459" t="s">
        <v>903</v>
      </c>
      <c r="G63" s="496">
        <v>8.8999999999999996E-2</v>
      </c>
      <c r="H63" s="488">
        <v>3.0800000000000001E-7</v>
      </c>
      <c r="I63" s="420" t="s">
        <v>2411</v>
      </c>
      <c r="J63" s="380">
        <v>3</v>
      </c>
      <c r="K63" s="403">
        <v>0.315</v>
      </c>
      <c r="L63" s="437">
        <v>5.6000000000000001E-2</v>
      </c>
      <c r="M63" s="496" t="s">
        <v>741</v>
      </c>
      <c r="N63" s="488" t="s">
        <v>741</v>
      </c>
      <c r="O63" s="420" t="s">
        <v>28</v>
      </c>
      <c r="P63" s="380" t="s">
        <v>28</v>
      </c>
      <c r="Q63" s="403" t="s">
        <v>28</v>
      </c>
      <c r="R63" s="437" t="s">
        <v>28</v>
      </c>
      <c r="S63" s="496" t="s">
        <v>741</v>
      </c>
      <c r="T63" s="488" t="s">
        <v>741</v>
      </c>
      <c r="U63" s="420" t="s">
        <v>28</v>
      </c>
      <c r="V63" s="379" t="s">
        <v>28</v>
      </c>
      <c r="W63" s="403" t="s">
        <v>28</v>
      </c>
      <c r="X63" s="437" t="s">
        <v>28</v>
      </c>
      <c r="Y63" s="458">
        <v>98</v>
      </c>
      <c r="Z63" s="459" t="s">
        <v>2362</v>
      </c>
    </row>
    <row r="64" spans="2:26" x14ac:dyDescent="0.2">
      <c r="B64" s="436" t="s">
        <v>809</v>
      </c>
      <c r="C64" s="379">
        <v>19</v>
      </c>
      <c r="D64" s="380">
        <v>10713133</v>
      </c>
      <c r="E64" s="380">
        <v>10755235</v>
      </c>
      <c r="F64" s="459" t="s">
        <v>903</v>
      </c>
      <c r="G64" s="496" t="s">
        <v>741</v>
      </c>
      <c r="H64" s="488" t="s">
        <v>741</v>
      </c>
      <c r="I64" s="417" t="s">
        <v>28</v>
      </c>
      <c r="J64" s="380" t="s">
        <v>28</v>
      </c>
      <c r="K64" s="403" t="s">
        <v>28</v>
      </c>
      <c r="L64" s="437" t="s">
        <v>28</v>
      </c>
      <c r="M64" s="496">
        <v>0.10199999999999999</v>
      </c>
      <c r="N64" s="488">
        <v>3.3499999999999998E-9</v>
      </c>
      <c r="O64" s="417" t="s">
        <v>2411</v>
      </c>
      <c r="P64" s="380">
        <v>2</v>
      </c>
      <c r="Q64" s="403">
        <v>0.27900000000000003</v>
      </c>
      <c r="R64" s="437">
        <v>8.3000000000000004E-2</v>
      </c>
      <c r="S64" s="496">
        <v>0.105</v>
      </c>
      <c r="T64" s="488">
        <v>4.9500000000000003E-7</v>
      </c>
      <c r="U64" s="417" t="s">
        <v>2411</v>
      </c>
      <c r="V64" s="379">
        <v>2</v>
      </c>
      <c r="W64" s="403">
        <v>0.191</v>
      </c>
      <c r="X64" s="437">
        <v>0.222</v>
      </c>
      <c r="Y64" s="458">
        <v>98</v>
      </c>
      <c r="Z64" s="459" t="s">
        <v>2362</v>
      </c>
    </row>
    <row r="65" spans="2:26" x14ac:dyDescent="0.2">
      <c r="B65" s="436" t="s">
        <v>810</v>
      </c>
      <c r="C65" s="379">
        <v>19</v>
      </c>
      <c r="D65" s="380">
        <v>10764937</v>
      </c>
      <c r="E65" s="380">
        <v>10803093</v>
      </c>
      <c r="F65" s="459" t="s">
        <v>903</v>
      </c>
      <c r="G65" s="496" t="s">
        <v>741</v>
      </c>
      <c r="H65" s="488" t="s">
        <v>741</v>
      </c>
      <c r="I65" s="417" t="s">
        <v>28</v>
      </c>
      <c r="J65" s="380" t="s">
        <v>28</v>
      </c>
      <c r="K65" s="403" t="s">
        <v>28</v>
      </c>
      <c r="L65" s="437" t="s">
        <v>28</v>
      </c>
      <c r="M65" s="496">
        <v>0.39600000000000002</v>
      </c>
      <c r="N65" s="488">
        <v>4.7500000000000001E-18</v>
      </c>
      <c r="O65" s="417" t="s">
        <v>2411</v>
      </c>
      <c r="P65" s="380">
        <v>1</v>
      </c>
      <c r="Q65" s="403">
        <v>0.187</v>
      </c>
      <c r="R65" s="437">
        <v>0.74299999999999999</v>
      </c>
      <c r="S65" s="496" t="s">
        <v>741</v>
      </c>
      <c r="T65" s="488" t="s">
        <v>741</v>
      </c>
      <c r="U65" s="417" t="s">
        <v>28</v>
      </c>
      <c r="V65" s="379" t="s">
        <v>28</v>
      </c>
      <c r="W65" s="403" t="s">
        <v>28</v>
      </c>
      <c r="X65" s="437" t="s">
        <v>28</v>
      </c>
      <c r="Y65" s="458">
        <v>98</v>
      </c>
      <c r="Z65" s="459" t="s">
        <v>1938</v>
      </c>
    </row>
    <row r="66" spans="2:26" x14ac:dyDescent="0.2">
      <c r="B66" s="436" t="s">
        <v>811</v>
      </c>
      <c r="C66" s="379">
        <v>19</v>
      </c>
      <c r="D66" s="380">
        <v>10943114</v>
      </c>
      <c r="E66" s="380">
        <v>10946994</v>
      </c>
      <c r="F66" s="459" t="s">
        <v>903</v>
      </c>
      <c r="G66" s="496">
        <v>0.27500000000000002</v>
      </c>
      <c r="H66" s="488">
        <v>5.51E-30</v>
      </c>
      <c r="I66" s="420" t="s">
        <v>2411</v>
      </c>
      <c r="J66" s="380">
        <v>2</v>
      </c>
      <c r="K66" s="403">
        <v>0.06</v>
      </c>
      <c r="L66" s="437">
        <v>0.86299999999999999</v>
      </c>
      <c r="M66" s="496" t="s">
        <v>741</v>
      </c>
      <c r="N66" s="488" t="s">
        <v>741</v>
      </c>
      <c r="O66" s="420" t="s">
        <v>28</v>
      </c>
      <c r="P66" s="380" t="s">
        <v>28</v>
      </c>
      <c r="Q66" s="403" t="s">
        <v>28</v>
      </c>
      <c r="R66" s="437" t="s">
        <v>28</v>
      </c>
      <c r="S66" s="496" t="s">
        <v>741</v>
      </c>
      <c r="T66" s="488" t="s">
        <v>741</v>
      </c>
      <c r="U66" s="420" t="s">
        <v>28</v>
      </c>
      <c r="V66" s="379" t="s">
        <v>28</v>
      </c>
      <c r="W66" s="403" t="s">
        <v>28</v>
      </c>
      <c r="X66" s="437" t="s">
        <v>28</v>
      </c>
      <c r="Y66" s="458">
        <v>98</v>
      </c>
      <c r="Z66" s="459" t="s">
        <v>2362</v>
      </c>
    </row>
    <row r="67" spans="2:26" x14ac:dyDescent="0.2">
      <c r="B67" s="442" t="s">
        <v>812</v>
      </c>
      <c r="C67" s="382">
        <v>19</v>
      </c>
      <c r="D67" s="383">
        <v>18529674</v>
      </c>
      <c r="E67" s="383">
        <v>18545372</v>
      </c>
      <c r="F67" s="465" t="s">
        <v>903</v>
      </c>
      <c r="G67" s="500" t="s">
        <v>741</v>
      </c>
      <c r="H67" s="492" t="s">
        <v>741</v>
      </c>
      <c r="I67" s="425" t="s">
        <v>28</v>
      </c>
      <c r="J67" s="383" t="s">
        <v>28</v>
      </c>
      <c r="K67" s="408" t="s">
        <v>28</v>
      </c>
      <c r="L67" s="443" t="s">
        <v>28</v>
      </c>
      <c r="M67" s="500">
        <v>-0.122</v>
      </c>
      <c r="N67" s="492">
        <v>3.8500000000000001E-10</v>
      </c>
      <c r="O67" s="425" t="s">
        <v>2411</v>
      </c>
      <c r="P67" s="383">
        <v>1</v>
      </c>
      <c r="Q67" s="408">
        <v>0.151</v>
      </c>
      <c r="R67" s="443">
        <v>0.84899999999999998</v>
      </c>
      <c r="S67" s="500">
        <v>-0.114</v>
      </c>
      <c r="T67" s="492">
        <v>2.3800000000000001E-11</v>
      </c>
      <c r="U67" s="425" t="s">
        <v>2411</v>
      </c>
      <c r="V67" s="382">
        <v>1</v>
      </c>
      <c r="W67" s="408">
        <v>0.82099999999999995</v>
      </c>
      <c r="X67" s="443">
        <v>0.17899999999999999</v>
      </c>
      <c r="Y67" s="464">
        <v>99</v>
      </c>
      <c r="Z67" s="465" t="s">
        <v>2362</v>
      </c>
    </row>
    <row r="68" spans="2:26" x14ac:dyDescent="0.2">
      <c r="B68" s="446" t="s">
        <v>813</v>
      </c>
      <c r="C68" s="386">
        <v>19</v>
      </c>
      <c r="D68" s="387">
        <v>18553473</v>
      </c>
      <c r="E68" s="387">
        <v>18632937</v>
      </c>
      <c r="F68" s="469" t="s">
        <v>903</v>
      </c>
      <c r="G68" s="502">
        <v>0.11</v>
      </c>
      <c r="H68" s="494">
        <v>1.16E-10</v>
      </c>
      <c r="I68" s="426" t="s">
        <v>2411</v>
      </c>
      <c r="J68" s="387">
        <v>2</v>
      </c>
      <c r="K68" s="406">
        <v>0.249</v>
      </c>
      <c r="L68" s="447">
        <v>0.23499999999999999</v>
      </c>
      <c r="M68" s="502" t="s">
        <v>741</v>
      </c>
      <c r="N68" s="494" t="s">
        <v>741</v>
      </c>
      <c r="O68" s="426" t="s">
        <v>28</v>
      </c>
      <c r="P68" s="387" t="s">
        <v>28</v>
      </c>
      <c r="Q68" s="406" t="s">
        <v>28</v>
      </c>
      <c r="R68" s="447" t="s">
        <v>28</v>
      </c>
      <c r="S68" s="502" t="s">
        <v>741</v>
      </c>
      <c r="T68" s="494" t="s">
        <v>741</v>
      </c>
      <c r="U68" s="426" t="s">
        <v>28</v>
      </c>
      <c r="V68" s="386" t="s">
        <v>28</v>
      </c>
      <c r="W68" s="406" t="s">
        <v>28</v>
      </c>
      <c r="X68" s="447" t="s">
        <v>28</v>
      </c>
      <c r="Y68" s="468">
        <v>99</v>
      </c>
      <c r="Z68" s="469" t="s">
        <v>2362</v>
      </c>
    </row>
    <row r="69" spans="2:26" x14ac:dyDescent="0.2">
      <c r="B69" s="436" t="s">
        <v>814</v>
      </c>
      <c r="C69" s="379">
        <v>19</v>
      </c>
      <c r="D69" s="380">
        <v>33864236</v>
      </c>
      <c r="E69" s="380">
        <v>33873592</v>
      </c>
      <c r="F69" s="459" t="s">
        <v>903</v>
      </c>
      <c r="G69" s="496" t="s">
        <v>741</v>
      </c>
      <c r="H69" s="488" t="s">
        <v>741</v>
      </c>
      <c r="I69" s="417" t="s">
        <v>28</v>
      </c>
      <c r="J69" s="380" t="s">
        <v>28</v>
      </c>
      <c r="K69" s="403" t="s">
        <v>28</v>
      </c>
      <c r="L69" s="437" t="s">
        <v>28</v>
      </c>
      <c r="M69" s="496">
        <v>-8.2000000000000003E-2</v>
      </c>
      <c r="N69" s="488">
        <v>2.1E-7</v>
      </c>
      <c r="O69" s="417" t="s">
        <v>2411</v>
      </c>
      <c r="P69" s="380">
        <v>1</v>
      </c>
      <c r="Q69" s="403">
        <v>2.4E-2</v>
      </c>
      <c r="R69" s="437">
        <v>0.97599999999999998</v>
      </c>
      <c r="S69" s="496">
        <v>-0.193</v>
      </c>
      <c r="T69" s="488">
        <v>1.01E-7</v>
      </c>
      <c r="U69" s="417" t="s">
        <v>2411</v>
      </c>
      <c r="V69" s="379">
        <v>1</v>
      </c>
      <c r="W69" s="403">
        <v>0.126</v>
      </c>
      <c r="X69" s="437">
        <v>0.872</v>
      </c>
      <c r="Y69" s="458">
        <v>100</v>
      </c>
      <c r="Z69" s="459" t="s">
        <v>2362</v>
      </c>
    </row>
    <row r="70" spans="2:26" x14ac:dyDescent="0.2">
      <c r="B70" s="442" t="s">
        <v>816</v>
      </c>
      <c r="C70" s="382">
        <v>19</v>
      </c>
      <c r="D70" s="383">
        <v>49104067</v>
      </c>
      <c r="E70" s="383">
        <v>49118111</v>
      </c>
      <c r="F70" s="465" t="s">
        <v>903</v>
      </c>
      <c r="G70" s="500" t="s">
        <v>741</v>
      </c>
      <c r="H70" s="492" t="s">
        <v>741</v>
      </c>
      <c r="I70" s="425" t="s">
        <v>28</v>
      </c>
      <c r="J70" s="383" t="s">
        <v>28</v>
      </c>
      <c r="K70" s="408" t="s">
        <v>28</v>
      </c>
      <c r="L70" s="443" t="s">
        <v>28</v>
      </c>
      <c r="M70" s="500">
        <v>0.19</v>
      </c>
      <c r="N70" s="492">
        <v>5.4299999999999997E-9</v>
      </c>
      <c r="O70" s="425" t="s">
        <v>2411</v>
      </c>
      <c r="P70" s="383">
        <v>1</v>
      </c>
      <c r="Q70" s="408">
        <v>0.19</v>
      </c>
      <c r="R70" s="443">
        <v>0.80900000000000005</v>
      </c>
      <c r="S70" s="500" t="s">
        <v>741</v>
      </c>
      <c r="T70" s="492" t="s">
        <v>741</v>
      </c>
      <c r="U70" s="425" t="s">
        <v>28</v>
      </c>
      <c r="V70" s="382" t="s">
        <v>28</v>
      </c>
      <c r="W70" s="408" t="s">
        <v>28</v>
      </c>
      <c r="X70" s="443" t="s">
        <v>28</v>
      </c>
      <c r="Y70" s="464">
        <v>101</v>
      </c>
      <c r="Z70" s="465" t="s">
        <v>2362</v>
      </c>
    </row>
    <row r="71" spans="2:26" x14ac:dyDescent="0.2">
      <c r="B71" s="444" t="s">
        <v>817</v>
      </c>
      <c r="C71" s="384">
        <v>19</v>
      </c>
      <c r="D71" s="385">
        <v>49164664</v>
      </c>
      <c r="E71" s="385">
        <v>49176338</v>
      </c>
      <c r="F71" s="467" t="s">
        <v>903</v>
      </c>
      <c r="G71" s="501" t="s">
        <v>741</v>
      </c>
      <c r="H71" s="493" t="s">
        <v>741</v>
      </c>
      <c r="I71" s="376" t="s">
        <v>28</v>
      </c>
      <c r="J71" s="385" t="s">
        <v>28</v>
      </c>
      <c r="K71" s="404" t="s">
        <v>28</v>
      </c>
      <c r="L71" s="445" t="s">
        <v>28</v>
      </c>
      <c r="M71" s="501">
        <v>0.14499999999999999</v>
      </c>
      <c r="N71" s="493">
        <v>2.9800000000000003E-11</v>
      </c>
      <c r="O71" s="376" t="s">
        <v>2411</v>
      </c>
      <c r="P71" s="385">
        <v>1</v>
      </c>
      <c r="Q71" s="404">
        <v>0.21199999999999999</v>
      </c>
      <c r="R71" s="445">
        <v>0.78800000000000003</v>
      </c>
      <c r="S71" s="501">
        <v>0.114</v>
      </c>
      <c r="T71" s="493">
        <v>2.76E-9</v>
      </c>
      <c r="U71" s="376" t="s">
        <v>2411</v>
      </c>
      <c r="V71" s="384">
        <v>3</v>
      </c>
      <c r="W71" s="404">
        <v>2.5000000000000001E-2</v>
      </c>
      <c r="X71" s="445">
        <v>0.97499999999999998</v>
      </c>
      <c r="Y71" s="466">
        <v>101</v>
      </c>
      <c r="Z71" s="467" t="s">
        <v>2362</v>
      </c>
    </row>
    <row r="72" spans="2:26" x14ac:dyDescent="0.2">
      <c r="B72" s="444" t="s">
        <v>818</v>
      </c>
      <c r="C72" s="384">
        <v>19</v>
      </c>
      <c r="D72" s="385">
        <v>49199228</v>
      </c>
      <c r="E72" s="385">
        <v>49209207</v>
      </c>
      <c r="F72" s="467" t="s">
        <v>903</v>
      </c>
      <c r="G72" s="501" t="s">
        <v>741</v>
      </c>
      <c r="H72" s="493" t="s">
        <v>741</v>
      </c>
      <c r="I72" s="376" t="s">
        <v>28</v>
      </c>
      <c r="J72" s="385" t="s">
        <v>28</v>
      </c>
      <c r="K72" s="404" t="s">
        <v>28</v>
      </c>
      <c r="L72" s="445" t="s">
        <v>28</v>
      </c>
      <c r="M72" s="501">
        <v>-8.2000000000000003E-2</v>
      </c>
      <c r="N72" s="493">
        <v>8.9900000000000004E-8</v>
      </c>
      <c r="O72" s="376" t="s">
        <v>2411</v>
      </c>
      <c r="P72" s="385">
        <v>4</v>
      </c>
      <c r="Q72" s="404">
        <v>8.9999999999999993E-3</v>
      </c>
      <c r="R72" s="445">
        <v>0.99099999999999999</v>
      </c>
      <c r="S72" s="501">
        <v>-8.1000000000000003E-2</v>
      </c>
      <c r="T72" s="493">
        <v>1.7600000000000001E-10</v>
      </c>
      <c r="U72" s="376" t="s">
        <v>2411</v>
      </c>
      <c r="V72" s="384">
        <v>3</v>
      </c>
      <c r="W72" s="404">
        <v>8.9999999999999993E-3</v>
      </c>
      <c r="X72" s="445">
        <v>0.99099999999999999</v>
      </c>
      <c r="Y72" s="466">
        <v>101</v>
      </c>
      <c r="Z72" s="467" t="s">
        <v>1938</v>
      </c>
    </row>
    <row r="73" spans="2:26" x14ac:dyDescent="0.2">
      <c r="B73" s="444" t="s">
        <v>819</v>
      </c>
      <c r="C73" s="384">
        <v>19</v>
      </c>
      <c r="D73" s="385">
        <v>49215999</v>
      </c>
      <c r="E73" s="385">
        <v>49222978</v>
      </c>
      <c r="F73" s="467" t="s">
        <v>903</v>
      </c>
      <c r="G73" s="501" t="s">
        <v>741</v>
      </c>
      <c r="H73" s="493" t="s">
        <v>741</v>
      </c>
      <c r="I73" s="423" t="s">
        <v>28</v>
      </c>
      <c r="J73" s="385" t="s">
        <v>28</v>
      </c>
      <c r="K73" s="404" t="s">
        <v>28</v>
      </c>
      <c r="L73" s="445" t="s">
        <v>28</v>
      </c>
      <c r="M73" s="501">
        <v>0.14399999999999999</v>
      </c>
      <c r="N73" s="493">
        <v>2.6700000000000001E-9</v>
      </c>
      <c r="O73" s="423" t="s">
        <v>2411</v>
      </c>
      <c r="P73" s="385">
        <v>1</v>
      </c>
      <c r="Q73" s="404">
        <v>0.42899999999999999</v>
      </c>
      <c r="R73" s="445">
        <v>0.39</v>
      </c>
      <c r="S73" s="501" t="s">
        <v>741</v>
      </c>
      <c r="T73" s="493" t="s">
        <v>741</v>
      </c>
      <c r="U73" s="423" t="s">
        <v>28</v>
      </c>
      <c r="V73" s="384" t="s">
        <v>28</v>
      </c>
      <c r="W73" s="404" t="s">
        <v>28</v>
      </c>
      <c r="X73" s="445" t="s">
        <v>28</v>
      </c>
      <c r="Y73" s="466">
        <v>101</v>
      </c>
      <c r="Z73" s="467" t="s">
        <v>2362</v>
      </c>
    </row>
    <row r="74" spans="2:26" x14ac:dyDescent="0.2">
      <c r="B74" s="446" t="s">
        <v>820</v>
      </c>
      <c r="C74" s="386">
        <v>19</v>
      </c>
      <c r="D74" s="387">
        <v>49223844</v>
      </c>
      <c r="E74" s="387">
        <v>49243978</v>
      </c>
      <c r="F74" s="469" t="s">
        <v>903</v>
      </c>
      <c r="G74" s="502" t="s">
        <v>741</v>
      </c>
      <c r="H74" s="494" t="s">
        <v>741</v>
      </c>
      <c r="I74" s="426" t="s">
        <v>28</v>
      </c>
      <c r="J74" s="387" t="s">
        <v>28</v>
      </c>
      <c r="K74" s="406" t="s">
        <v>28</v>
      </c>
      <c r="L74" s="447" t="s">
        <v>28</v>
      </c>
      <c r="M74" s="502">
        <v>9.5000000000000001E-2</v>
      </c>
      <c r="N74" s="494">
        <v>4.1700000000000003E-8</v>
      </c>
      <c r="O74" s="426" t="s">
        <v>2411</v>
      </c>
      <c r="P74" s="387">
        <v>1</v>
      </c>
      <c r="Q74" s="406">
        <v>0.20499999999999999</v>
      </c>
      <c r="R74" s="447">
        <v>0.79500000000000004</v>
      </c>
      <c r="S74" s="502">
        <v>0.13</v>
      </c>
      <c r="T74" s="494">
        <v>1.2799999999999999E-9</v>
      </c>
      <c r="U74" s="426" t="s">
        <v>2411</v>
      </c>
      <c r="V74" s="386">
        <v>1</v>
      </c>
      <c r="W74" s="406">
        <v>0.27300000000000002</v>
      </c>
      <c r="X74" s="447">
        <v>0.72699999999999998</v>
      </c>
      <c r="Y74" s="468">
        <v>101</v>
      </c>
      <c r="Z74" s="469" t="s">
        <v>2362</v>
      </c>
    </row>
    <row r="75" spans="2:26" x14ac:dyDescent="0.2">
      <c r="B75" s="436" t="s">
        <v>821</v>
      </c>
      <c r="C75" s="379">
        <v>19</v>
      </c>
      <c r="D75" s="380">
        <v>53365060</v>
      </c>
      <c r="E75" s="380">
        <v>53366119</v>
      </c>
      <c r="F75" s="459" t="s">
        <v>907</v>
      </c>
      <c r="G75" s="496" t="s">
        <v>741</v>
      </c>
      <c r="H75" s="488" t="s">
        <v>741</v>
      </c>
      <c r="I75" s="420" t="s">
        <v>28</v>
      </c>
      <c r="J75" s="380" t="s">
        <v>28</v>
      </c>
      <c r="K75" s="403" t="s">
        <v>28</v>
      </c>
      <c r="L75" s="437" t="s">
        <v>28</v>
      </c>
      <c r="M75" s="496" t="s">
        <v>741</v>
      </c>
      <c r="N75" s="488" t="s">
        <v>741</v>
      </c>
      <c r="O75" s="420" t="s">
        <v>28</v>
      </c>
      <c r="P75" s="380" t="s">
        <v>28</v>
      </c>
      <c r="Q75" s="403" t="s">
        <v>28</v>
      </c>
      <c r="R75" s="437" t="s">
        <v>28</v>
      </c>
      <c r="S75" s="496">
        <v>-8.4000000000000005E-2</v>
      </c>
      <c r="T75" s="488">
        <v>1.6899999999999999E-6</v>
      </c>
      <c r="U75" s="420" t="s">
        <v>2411</v>
      </c>
      <c r="V75" s="379">
        <v>2</v>
      </c>
      <c r="W75" s="403" t="s">
        <v>2395</v>
      </c>
      <c r="X75" s="437" t="s">
        <v>2395</v>
      </c>
      <c r="Y75" s="458" t="s">
        <v>757</v>
      </c>
      <c r="Z75" s="459" t="s">
        <v>2362</v>
      </c>
    </row>
    <row r="76" spans="2:26" x14ac:dyDescent="0.2">
      <c r="B76" s="442" t="s">
        <v>822</v>
      </c>
      <c r="C76" s="382">
        <v>20</v>
      </c>
      <c r="D76" s="383">
        <v>48519928</v>
      </c>
      <c r="E76" s="383">
        <v>48532080</v>
      </c>
      <c r="F76" s="465" t="s">
        <v>903</v>
      </c>
      <c r="G76" s="500" t="s">
        <v>741</v>
      </c>
      <c r="H76" s="492" t="s">
        <v>741</v>
      </c>
      <c r="I76" s="422" t="s">
        <v>28</v>
      </c>
      <c r="J76" s="383" t="s">
        <v>28</v>
      </c>
      <c r="K76" s="408" t="s">
        <v>28</v>
      </c>
      <c r="L76" s="443" t="s">
        <v>28</v>
      </c>
      <c r="M76" s="500">
        <v>-0.155</v>
      </c>
      <c r="N76" s="492">
        <v>6.4700000000000001E-33</v>
      </c>
      <c r="O76" s="422" t="s">
        <v>2411</v>
      </c>
      <c r="P76" s="383">
        <v>1</v>
      </c>
      <c r="Q76" s="408">
        <v>1</v>
      </c>
      <c r="R76" s="443">
        <v>0</v>
      </c>
      <c r="S76" s="500">
        <v>-0.184</v>
      </c>
      <c r="T76" s="492">
        <v>1.65E-31</v>
      </c>
      <c r="U76" s="422" t="s">
        <v>2411</v>
      </c>
      <c r="V76" s="382">
        <v>1</v>
      </c>
      <c r="W76" s="408">
        <v>0.186</v>
      </c>
      <c r="X76" s="443">
        <v>0.81399999999999995</v>
      </c>
      <c r="Y76" s="464">
        <v>103</v>
      </c>
      <c r="Z76" s="465" t="s">
        <v>2362</v>
      </c>
    </row>
    <row r="77" spans="2:26" x14ac:dyDescent="0.2">
      <c r="B77" s="446" t="s">
        <v>823</v>
      </c>
      <c r="C77" s="386">
        <v>20</v>
      </c>
      <c r="D77" s="387">
        <v>48573282</v>
      </c>
      <c r="E77" s="387">
        <v>48574569</v>
      </c>
      <c r="F77" s="469" t="s">
        <v>904</v>
      </c>
      <c r="G77" s="502" t="s">
        <v>741</v>
      </c>
      <c r="H77" s="494" t="s">
        <v>741</v>
      </c>
      <c r="I77" s="424" t="s">
        <v>28</v>
      </c>
      <c r="J77" s="387" t="s">
        <v>28</v>
      </c>
      <c r="K77" s="406" t="s">
        <v>28</v>
      </c>
      <c r="L77" s="447" t="s">
        <v>28</v>
      </c>
      <c r="M77" s="502" t="s">
        <v>741</v>
      </c>
      <c r="N77" s="494" t="s">
        <v>741</v>
      </c>
      <c r="O77" s="424" t="s">
        <v>28</v>
      </c>
      <c r="P77" s="387" t="s">
        <v>28</v>
      </c>
      <c r="Q77" s="406" t="s">
        <v>28</v>
      </c>
      <c r="R77" s="447" t="s">
        <v>28</v>
      </c>
      <c r="S77" s="502">
        <v>0.27600000000000002</v>
      </c>
      <c r="T77" s="494">
        <v>9.6199999999999997E-18</v>
      </c>
      <c r="U77" s="424" t="s">
        <v>2411</v>
      </c>
      <c r="V77" s="386">
        <v>1</v>
      </c>
      <c r="W77" s="406">
        <v>0.11700000000000001</v>
      </c>
      <c r="X77" s="447">
        <v>0.878</v>
      </c>
      <c r="Y77" s="468">
        <v>103</v>
      </c>
      <c r="Z77" s="469" t="s">
        <v>2362</v>
      </c>
    </row>
    <row r="78" spans="2:26" x14ac:dyDescent="0.2">
      <c r="B78" s="436" t="s">
        <v>824</v>
      </c>
      <c r="C78" s="379">
        <v>22</v>
      </c>
      <c r="D78" s="380">
        <v>20850200</v>
      </c>
      <c r="E78" s="380">
        <v>20941919</v>
      </c>
      <c r="F78" s="459" t="s">
        <v>903</v>
      </c>
      <c r="G78" s="496">
        <v>0.18</v>
      </c>
      <c r="H78" s="488">
        <v>7.61E-7</v>
      </c>
      <c r="I78" s="417" t="s">
        <v>2411</v>
      </c>
      <c r="J78" s="380">
        <v>1</v>
      </c>
      <c r="K78" s="403">
        <v>0.108</v>
      </c>
      <c r="L78" s="437">
        <v>0.89100000000000001</v>
      </c>
      <c r="M78" s="496">
        <v>0.157</v>
      </c>
      <c r="N78" s="488">
        <v>3.3599999999999999E-7</v>
      </c>
      <c r="O78" s="417" t="s">
        <v>2412</v>
      </c>
      <c r="P78" s="380" t="s">
        <v>28</v>
      </c>
      <c r="Q78" s="403" t="s">
        <v>28</v>
      </c>
      <c r="R78" s="437" t="s">
        <v>28</v>
      </c>
      <c r="S78" s="496" t="s">
        <v>741</v>
      </c>
      <c r="T78" s="488" t="s">
        <v>741</v>
      </c>
      <c r="U78" s="417" t="s">
        <v>28</v>
      </c>
      <c r="V78" s="379" t="s">
        <v>28</v>
      </c>
      <c r="W78" s="403" t="s">
        <v>28</v>
      </c>
      <c r="X78" s="437" t="s">
        <v>28</v>
      </c>
      <c r="Y78" s="458">
        <v>107</v>
      </c>
      <c r="Z78" s="459" t="s">
        <v>2362</v>
      </c>
    </row>
    <row r="79" spans="2:26" x14ac:dyDescent="0.2">
      <c r="B79" s="442" t="s">
        <v>825</v>
      </c>
      <c r="C79" s="382">
        <v>22</v>
      </c>
      <c r="D79" s="383">
        <v>21903736</v>
      </c>
      <c r="E79" s="383">
        <v>21978323</v>
      </c>
      <c r="F79" s="465" t="s">
        <v>903</v>
      </c>
      <c r="G79" s="500">
        <v>0.26</v>
      </c>
      <c r="H79" s="492">
        <v>7.0100000000000004E-18</v>
      </c>
      <c r="I79" s="422" t="s">
        <v>2411</v>
      </c>
      <c r="J79" s="383">
        <v>1</v>
      </c>
      <c r="K79" s="408">
        <v>6.6000000000000003E-2</v>
      </c>
      <c r="L79" s="443">
        <v>0.93400000000000005</v>
      </c>
      <c r="M79" s="500">
        <v>0.69399999999999995</v>
      </c>
      <c r="N79" s="492">
        <v>3.1899999999999999E-21</v>
      </c>
      <c r="O79" s="422" t="s">
        <v>2412</v>
      </c>
      <c r="P79" s="383" t="s">
        <v>28</v>
      </c>
      <c r="Q79" s="408" t="s">
        <v>28</v>
      </c>
      <c r="R79" s="443" t="s">
        <v>28</v>
      </c>
      <c r="S79" s="500" t="s">
        <v>741</v>
      </c>
      <c r="T79" s="492" t="s">
        <v>741</v>
      </c>
      <c r="U79" s="422" t="s">
        <v>28</v>
      </c>
      <c r="V79" s="382" t="s">
        <v>28</v>
      </c>
      <c r="W79" s="408" t="s">
        <v>28</v>
      </c>
      <c r="X79" s="443" t="s">
        <v>28</v>
      </c>
      <c r="Y79" s="464">
        <v>108</v>
      </c>
      <c r="Z79" s="465" t="s">
        <v>1938</v>
      </c>
    </row>
    <row r="80" spans="2:26" x14ac:dyDescent="0.2">
      <c r="B80" s="446" t="s">
        <v>826</v>
      </c>
      <c r="C80" s="386">
        <v>22</v>
      </c>
      <c r="D80" s="387">
        <v>21987005</v>
      </c>
      <c r="E80" s="387">
        <v>21991616</v>
      </c>
      <c r="F80" s="469" t="s">
        <v>903</v>
      </c>
      <c r="G80" s="502" t="s">
        <v>741</v>
      </c>
      <c r="H80" s="494" t="s">
        <v>741</v>
      </c>
      <c r="I80" s="426" t="s">
        <v>28</v>
      </c>
      <c r="J80" s="387" t="s">
        <v>28</v>
      </c>
      <c r="K80" s="406" t="s">
        <v>28</v>
      </c>
      <c r="L80" s="447" t="s">
        <v>28</v>
      </c>
      <c r="M80" s="502">
        <v>-0.183</v>
      </c>
      <c r="N80" s="494">
        <v>6.5300000000000001E-19</v>
      </c>
      <c r="O80" s="426" t="s">
        <v>2411</v>
      </c>
      <c r="P80" s="387">
        <v>1</v>
      </c>
      <c r="Q80" s="406">
        <v>0.08</v>
      </c>
      <c r="R80" s="447">
        <v>0.92</v>
      </c>
      <c r="S80" s="502">
        <v>-0.17100000000000001</v>
      </c>
      <c r="T80" s="494">
        <v>4.6900000000000003E-16</v>
      </c>
      <c r="U80" s="426" t="s">
        <v>2411</v>
      </c>
      <c r="V80" s="386">
        <v>1</v>
      </c>
      <c r="W80" s="406">
        <v>8.3000000000000004E-2</v>
      </c>
      <c r="X80" s="447">
        <v>0.91700000000000004</v>
      </c>
      <c r="Y80" s="468">
        <v>108</v>
      </c>
      <c r="Z80" s="469" t="s">
        <v>2362</v>
      </c>
    </row>
    <row r="81" spans="2:26" ht="17" thickBot="1" x14ac:dyDescent="0.25">
      <c r="B81" s="448" t="s">
        <v>827</v>
      </c>
      <c r="C81" s="453">
        <v>22</v>
      </c>
      <c r="D81" s="450">
        <v>41601209</v>
      </c>
      <c r="E81" s="450">
        <v>41627275</v>
      </c>
      <c r="F81" s="471" t="s">
        <v>903</v>
      </c>
      <c r="G81" s="503" t="s">
        <v>741</v>
      </c>
      <c r="H81" s="495" t="s">
        <v>741</v>
      </c>
      <c r="I81" s="449" t="s">
        <v>28</v>
      </c>
      <c r="J81" s="450" t="s">
        <v>28</v>
      </c>
      <c r="K81" s="451" t="s">
        <v>28</v>
      </c>
      <c r="L81" s="452" t="s">
        <v>28</v>
      </c>
      <c r="M81" s="503">
        <v>0.14599999999999999</v>
      </c>
      <c r="N81" s="495">
        <v>1.66E-6</v>
      </c>
      <c r="O81" s="449" t="s">
        <v>2411</v>
      </c>
      <c r="P81" s="450">
        <v>1</v>
      </c>
      <c r="Q81" s="451" t="s">
        <v>2395</v>
      </c>
      <c r="R81" s="452" t="s">
        <v>2395</v>
      </c>
      <c r="S81" s="503" t="s">
        <v>741</v>
      </c>
      <c r="T81" s="495" t="s">
        <v>741</v>
      </c>
      <c r="U81" s="449" t="s">
        <v>28</v>
      </c>
      <c r="V81" s="453" t="s">
        <v>28</v>
      </c>
      <c r="W81" s="451" t="s">
        <v>28</v>
      </c>
      <c r="X81" s="452" t="s">
        <v>28</v>
      </c>
      <c r="Y81" s="470" t="s">
        <v>757</v>
      </c>
      <c r="Z81" s="471" t="s">
        <v>2362</v>
      </c>
    </row>
  </sheetData>
  <conditionalFormatting sqref="I12:I81">
    <cfRule type="cellIs" dxfId="14" priority="3" operator="equal">
      <formula>"Pass"</formula>
    </cfRule>
  </conditionalFormatting>
  <conditionalFormatting sqref="K12:K81">
    <cfRule type="cellIs" dxfId="13" priority="17" operator="lessThan">
      <formula>0.5</formula>
    </cfRule>
    <cfRule type="cellIs" dxfId="12" priority="18" operator="equal">
      <formula>"not tested"</formula>
    </cfRule>
  </conditionalFormatting>
  <conditionalFormatting sqref="L12:L81">
    <cfRule type="expression" dxfId="11" priority="11">
      <formula>AND(L12&lt;&gt;".",L12&lt;&gt;"not tested",L12&gt;0.8)</formula>
    </cfRule>
    <cfRule type="expression" dxfId="10" priority="12">
      <formula>AND(L12&lt;&gt;".",L12&lt;&gt;"not tested",L12&gt;0.5)</formula>
    </cfRule>
  </conditionalFormatting>
  <conditionalFormatting sqref="O12:O81">
    <cfRule type="cellIs" dxfId="9" priority="2" operator="equal">
      <formula>"Pass"</formula>
    </cfRule>
  </conditionalFormatting>
  <conditionalFormatting sqref="Q12:Q81">
    <cfRule type="cellIs" dxfId="8" priority="15" operator="lessThan">
      <formula>0.5</formula>
    </cfRule>
    <cfRule type="cellIs" dxfId="7" priority="16" operator="equal">
      <formula>"not tested"</formula>
    </cfRule>
  </conditionalFormatting>
  <conditionalFormatting sqref="R12:R81">
    <cfRule type="expression" dxfId="6" priority="9">
      <formula>AND(R12&lt;&gt;".",R12&lt;&gt;"not tested",R12&gt;0.8)</formula>
    </cfRule>
    <cfRule type="expression" dxfId="5" priority="10">
      <formula>AND(R12&lt;&gt;".",R12&lt;&gt;"not tested",R12&gt;0.5)</formula>
    </cfRule>
  </conditionalFormatting>
  <conditionalFormatting sqref="U12:U81">
    <cfRule type="cellIs" dxfId="4" priority="1" operator="equal">
      <formula>"Pass"</formula>
    </cfRule>
  </conditionalFormatting>
  <conditionalFormatting sqref="W12:W81">
    <cfRule type="cellIs" dxfId="3" priority="13" operator="lessThan">
      <formula>0.5</formula>
    </cfRule>
    <cfRule type="cellIs" dxfId="2" priority="14" operator="equal">
      <formula>"not tested"</formula>
    </cfRule>
  </conditionalFormatting>
  <conditionalFormatting sqref="X12:X81">
    <cfRule type="expression" dxfId="1" priority="7">
      <formula>AND(X12&lt;&gt;".",X12&lt;&gt;"not tested",X12&gt;0.8)</formula>
    </cfRule>
    <cfRule type="expression" dxfId="0" priority="8">
      <formula>AND(X12&lt;&gt;".",X12&lt;&gt;"not tested",X12&gt;0.5)</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65F3-813E-3544-AA3C-5EDC525F805B}">
  <dimension ref="B2:R135"/>
  <sheetViews>
    <sheetView workbookViewId="0">
      <pane ySplit="14" topLeftCell="A15" activePane="bottomLeft" state="frozen"/>
      <selection pane="bottomLeft"/>
    </sheetView>
  </sheetViews>
  <sheetFormatPr baseColWidth="10" defaultColWidth="11" defaultRowHeight="16" x14ac:dyDescent="0.2"/>
  <cols>
    <col min="1" max="1" width="4" customWidth="1"/>
    <col min="2" max="2" width="12.6640625" customWidth="1"/>
    <col min="3" max="3" width="27.1640625" customWidth="1"/>
    <col min="4" max="4" width="14" customWidth="1"/>
    <col min="5" max="5" width="17.33203125" customWidth="1"/>
    <col min="6" max="7" width="14" customWidth="1"/>
    <col min="8" max="8" width="54.5" customWidth="1"/>
    <col min="9" max="13" width="14" customWidth="1"/>
    <col min="14" max="14" width="54.5" customWidth="1"/>
    <col min="15" max="18" width="14" customWidth="1"/>
  </cols>
  <sheetData>
    <row r="2" spans="2:18" x14ac:dyDescent="0.2">
      <c r="B2" s="25" t="s">
        <v>2917</v>
      </c>
    </row>
    <row r="3" spans="2:18" x14ac:dyDescent="0.2">
      <c r="B3" t="s">
        <v>2440</v>
      </c>
    </row>
    <row r="4" spans="2:18" ht="19" x14ac:dyDescent="0.2">
      <c r="B4" t="s">
        <v>2931</v>
      </c>
    </row>
    <row r="5" spans="2:18" ht="19" x14ac:dyDescent="0.2">
      <c r="B5" t="s">
        <v>882</v>
      </c>
    </row>
    <row r="6" spans="2:18" ht="19" x14ac:dyDescent="0.2">
      <c r="B6" t="s">
        <v>883</v>
      </c>
    </row>
    <row r="7" spans="2:18" ht="19" x14ac:dyDescent="0.2">
      <c r="B7" t="s">
        <v>2932</v>
      </c>
    </row>
    <row r="8" spans="2:18" ht="19" x14ac:dyDescent="0.2">
      <c r="B8" t="s">
        <v>887</v>
      </c>
    </row>
    <row r="10" spans="2:18" x14ac:dyDescent="0.2">
      <c r="B10" t="s">
        <v>869</v>
      </c>
    </row>
    <row r="12" spans="2:18" x14ac:dyDescent="0.2">
      <c r="G12" s="569" t="s">
        <v>2438</v>
      </c>
      <c r="H12" s="570"/>
      <c r="I12" s="570"/>
      <c r="J12" s="570"/>
      <c r="K12" s="570"/>
      <c r="L12" s="571"/>
      <c r="M12" s="569" t="s">
        <v>2439</v>
      </c>
      <c r="N12" s="570"/>
      <c r="O12" s="570"/>
      <c r="P12" s="570"/>
      <c r="Q12" s="570"/>
      <c r="R12" s="571"/>
    </row>
    <row r="13" spans="2:18" x14ac:dyDescent="0.2">
      <c r="B13" s="115" t="s">
        <v>837</v>
      </c>
      <c r="C13" s="117" t="s">
        <v>2</v>
      </c>
      <c r="D13" s="115" t="s">
        <v>861</v>
      </c>
      <c r="E13" s="117" t="s">
        <v>862</v>
      </c>
      <c r="F13" s="415" t="s">
        <v>864</v>
      </c>
      <c r="G13" s="115" t="s">
        <v>865</v>
      </c>
      <c r="H13" s="572" t="s">
        <v>866</v>
      </c>
      <c r="I13" s="116" t="s">
        <v>867</v>
      </c>
      <c r="J13" s="116" t="s">
        <v>867</v>
      </c>
      <c r="K13" s="116" t="s">
        <v>868</v>
      </c>
      <c r="L13" s="117" t="s">
        <v>868</v>
      </c>
      <c r="M13" s="115" t="s">
        <v>2401</v>
      </c>
      <c r="N13" s="572" t="s">
        <v>2402</v>
      </c>
      <c r="O13" s="116" t="s">
        <v>867</v>
      </c>
      <c r="P13" s="116" t="s">
        <v>867</v>
      </c>
      <c r="Q13" s="116" t="s">
        <v>868</v>
      </c>
      <c r="R13" s="117" t="s">
        <v>868</v>
      </c>
    </row>
    <row r="14" spans="2:18" ht="19" x14ac:dyDescent="0.2">
      <c r="B14" s="118" t="s">
        <v>838</v>
      </c>
      <c r="C14" s="121"/>
      <c r="D14" s="118" t="s">
        <v>881</v>
      </c>
      <c r="E14" s="121" t="s">
        <v>863</v>
      </c>
      <c r="F14" s="416" t="s">
        <v>880</v>
      </c>
      <c r="G14" s="118" t="s">
        <v>884</v>
      </c>
      <c r="H14" s="573"/>
      <c r="I14" s="119" t="s">
        <v>885</v>
      </c>
      <c r="J14" s="119" t="s">
        <v>886</v>
      </c>
      <c r="K14" s="119" t="s">
        <v>885</v>
      </c>
      <c r="L14" s="121" t="s">
        <v>886</v>
      </c>
      <c r="M14" s="118" t="s">
        <v>884</v>
      </c>
      <c r="N14" s="573"/>
      <c r="O14" s="119" t="s">
        <v>885</v>
      </c>
      <c r="P14" s="119" t="s">
        <v>886</v>
      </c>
      <c r="Q14" s="119" t="s">
        <v>885</v>
      </c>
      <c r="R14" s="121" t="s">
        <v>886</v>
      </c>
    </row>
    <row r="15" spans="2:18" ht="17" x14ac:dyDescent="0.2">
      <c r="B15" s="379">
        <v>1</v>
      </c>
      <c r="C15" s="380" t="s">
        <v>1857</v>
      </c>
      <c r="D15" s="379">
        <v>37</v>
      </c>
      <c r="E15" s="409">
        <v>983.17700000000002</v>
      </c>
      <c r="F15" s="417">
        <v>15</v>
      </c>
      <c r="G15" s="380">
        <v>0</v>
      </c>
      <c r="H15" s="411" t="s">
        <v>23</v>
      </c>
      <c r="I15" s="380" t="s">
        <v>23</v>
      </c>
      <c r="J15" s="380" t="s">
        <v>23</v>
      </c>
      <c r="K15" s="380" t="s">
        <v>23</v>
      </c>
      <c r="L15" s="381" t="s">
        <v>23</v>
      </c>
      <c r="M15" s="380">
        <v>0</v>
      </c>
      <c r="N15" s="411" t="s">
        <v>23</v>
      </c>
      <c r="O15" s="380" t="s">
        <v>23</v>
      </c>
      <c r="P15" s="380" t="s">
        <v>23</v>
      </c>
      <c r="Q15" s="380" t="s">
        <v>23</v>
      </c>
      <c r="R15" s="381" t="s">
        <v>23</v>
      </c>
    </row>
    <row r="16" spans="2:18" ht="17" x14ac:dyDescent="0.2">
      <c r="B16" s="379">
        <v>2</v>
      </c>
      <c r="C16" s="380" t="s">
        <v>1858</v>
      </c>
      <c r="D16" s="379">
        <v>56</v>
      </c>
      <c r="E16" s="409">
        <v>988.17499999999995</v>
      </c>
      <c r="F16" s="417">
        <v>15</v>
      </c>
      <c r="G16" s="380">
        <v>3</v>
      </c>
      <c r="H16" s="411" t="s">
        <v>840</v>
      </c>
      <c r="I16" s="413">
        <v>6.867</v>
      </c>
      <c r="J16" s="380">
        <v>1</v>
      </c>
      <c r="K16" s="413">
        <v>60.884</v>
      </c>
      <c r="L16" s="381">
        <v>5</v>
      </c>
      <c r="M16" s="380">
        <v>3</v>
      </c>
      <c r="N16" s="411" t="s">
        <v>840</v>
      </c>
      <c r="O16" s="413">
        <v>6.867</v>
      </c>
      <c r="P16" s="380">
        <v>1</v>
      </c>
      <c r="Q16" s="413">
        <v>60.884</v>
      </c>
      <c r="R16" s="381">
        <v>5</v>
      </c>
    </row>
    <row r="17" spans="2:18" ht="17" x14ac:dyDescent="0.2">
      <c r="B17" s="379">
        <v>3</v>
      </c>
      <c r="C17" s="380" t="s">
        <v>1859</v>
      </c>
      <c r="D17" s="379">
        <v>93</v>
      </c>
      <c r="E17" s="409">
        <v>1403.4179999999999</v>
      </c>
      <c r="F17" s="417">
        <v>36</v>
      </c>
      <c r="G17" s="380">
        <v>1</v>
      </c>
      <c r="H17" s="411" t="s">
        <v>744</v>
      </c>
      <c r="I17" s="413">
        <v>26.521999999999998</v>
      </c>
      <c r="J17" s="380">
        <v>2</v>
      </c>
      <c r="K17" s="413">
        <v>26.521999999999998</v>
      </c>
      <c r="L17" s="381">
        <v>2</v>
      </c>
      <c r="M17" s="380">
        <v>1</v>
      </c>
      <c r="N17" s="411" t="s">
        <v>744</v>
      </c>
      <c r="O17" s="413">
        <v>26.521999999999998</v>
      </c>
      <c r="P17" s="380">
        <v>2</v>
      </c>
      <c r="Q17" s="413">
        <v>26.521999999999998</v>
      </c>
      <c r="R17" s="381">
        <v>2</v>
      </c>
    </row>
    <row r="18" spans="2:18" ht="17" x14ac:dyDescent="0.2">
      <c r="B18" s="379">
        <v>4</v>
      </c>
      <c r="C18" s="380" t="s">
        <v>1860</v>
      </c>
      <c r="D18" s="379">
        <v>33</v>
      </c>
      <c r="E18" s="409">
        <v>974.21100000000001</v>
      </c>
      <c r="F18" s="417">
        <v>12</v>
      </c>
      <c r="G18" s="380">
        <v>1</v>
      </c>
      <c r="H18" s="411" t="s">
        <v>745</v>
      </c>
      <c r="I18" s="413">
        <v>4.4269999999999996</v>
      </c>
      <c r="J18" s="380">
        <v>1</v>
      </c>
      <c r="K18" s="413">
        <v>4.4269999999999996</v>
      </c>
      <c r="L18" s="381">
        <v>1</v>
      </c>
      <c r="M18" s="380">
        <v>0</v>
      </c>
      <c r="N18" s="411" t="s">
        <v>23</v>
      </c>
      <c r="O18" s="413" t="s">
        <v>23</v>
      </c>
      <c r="P18" s="380" t="s">
        <v>23</v>
      </c>
      <c r="Q18" s="413" t="s">
        <v>23</v>
      </c>
      <c r="R18" s="381" t="s">
        <v>23</v>
      </c>
    </row>
    <row r="19" spans="2:18" ht="17" x14ac:dyDescent="0.2">
      <c r="B19" s="379">
        <v>5</v>
      </c>
      <c r="C19" s="380" t="s">
        <v>1861</v>
      </c>
      <c r="D19" s="379">
        <v>44</v>
      </c>
      <c r="E19" s="409">
        <v>938.71500000000003</v>
      </c>
      <c r="F19" s="417">
        <v>11</v>
      </c>
      <c r="G19" s="380">
        <v>0</v>
      </c>
      <c r="H19" s="411" t="s">
        <v>23</v>
      </c>
      <c r="I19" s="413" t="s">
        <v>23</v>
      </c>
      <c r="J19" s="380" t="s">
        <v>23</v>
      </c>
      <c r="K19" s="413" t="s">
        <v>23</v>
      </c>
      <c r="L19" s="381" t="s">
        <v>23</v>
      </c>
      <c r="M19" s="380">
        <v>0</v>
      </c>
      <c r="N19" s="411" t="s">
        <v>23</v>
      </c>
      <c r="O19" s="413" t="s">
        <v>23</v>
      </c>
      <c r="P19" s="380" t="s">
        <v>23</v>
      </c>
      <c r="Q19" s="413" t="s">
        <v>23</v>
      </c>
      <c r="R19" s="381" t="s">
        <v>23</v>
      </c>
    </row>
    <row r="20" spans="2:18" ht="17" x14ac:dyDescent="0.2">
      <c r="B20" s="379">
        <v>6</v>
      </c>
      <c r="C20" s="380" t="s">
        <v>1862</v>
      </c>
      <c r="D20" s="379">
        <v>87</v>
      </c>
      <c r="E20" s="409">
        <v>2325.6579999999999</v>
      </c>
      <c r="F20" s="417">
        <v>26</v>
      </c>
      <c r="G20" s="380">
        <v>1</v>
      </c>
      <c r="H20" s="411" t="s">
        <v>746</v>
      </c>
      <c r="I20" s="413">
        <v>9.5250000000000004</v>
      </c>
      <c r="J20" s="380">
        <v>1</v>
      </c>
      <c r="K20" s="413">
        <v>9.5250000000000004</v>
      </c>
      <c r="L20" s="381">
        <v>1</v>
      </c>
      <c r="M20" s="380">
        <v>1</v>
      </c>
      <c r="N20" s="411" t="s">
        <v>746</v>
      </c>
      <c r="O20" s="413">
        <v>9.5250000000000004</v>
      </c>
      <c r="P20" s="380">
        <v>1</v>
      </c>
      <c r="Q20" s="413">
        <v>9.5250000000000004</v>
      </c>
      <c r="R20" s="381">
        <v>1</v>
      </c>
    </row>
    <row r="21" spans="2:18" ht="17" x14ac:dyDescent="0.2">
      <c r="B21" s="379">
        <v>7</v>
      </c>
      <c r="C21" s="380" t="s">
        <v>1576</v>
      </c>
      <c r="D21" s="379">
        <v>102</v>
      </c>
      <c r="E21" s="409">
        <v>8828.2739999999994</v>
      </c>
      <c r="F21" s="417">
        <v>29</v>
      </c>
      <c r="G21" s="380">
        <v>0</v>
      </c>
      <c r="H21" s="411" t="s">
        <v>23</v>
      </c>
      <c r="I21" s="413" t="s">
        <v>23</v>
      </c>
      <c r="J21" s="380" t="s">
        <v>23</v>
      </c>
      <c r="K21" s="413" t="s">
        <v>23</v>
      </c>
      <c r="L21" s="381" t="s">
        <v>23</v>
      </c>
      <c r="M21" s="380">
        <v>0</v>
      </c>
      <c r="N21" s="411" t="s">
        <v>23</v>
      </c>
      <c r="O21" s="413" t="s">
        <v>23</v>
      </c>
      <c r="P21" s="380" t="s">
        <v>23</v>
      </c>
      <c r="Q21" s="413" t="s">
        <v>23</v>
      </c>
      <c r="R21" s="381" t="s">
        <v>23</v>
      </c>
    </row>
    <row r="22" spans="2:18" ht="17" x14ac:dyDescent="0.2">
      <c r="B22" s="379">
        <v>8</v>
      </c>
      <c r="C22" s="380" t="s">
        <v>1863</v>
      </c>
      <c r="D22" s="379">
        <v>35</v>
      </c>
      <c r="E22" s="409">
        <v>2599.5309999999999</v>
      </c>
      <c r="F22" s="417">
        <v>7</v>
      </c>
      <c r="G22" s="380">
        <v>1</v>
      </c>
      <c r="H22" s="411" t="s">
        <v>747</v>
      </c>
      <c r="I22" s="413">
        <v>5.7610000000000001</v>
      </c>
      <c r="J22" s="380">
        <v>1</v>
      </c>
      <c r="K22" s="413">
        <v>5.7610000000000001</v>
      </c>
      <c r="L22" s="381">
        <v>1</v>
      </c>
      <c r="M22" s="380">
        <v>0</v>
      </c>
      <c r="N22" s="411" t="s">
        <v>23</v>
      </c>
      <c r="O22" s="413" t="s">
        <v>23</v>
      </c>
      <c r="P22" s="380" t="s">
        <v>23</v>
      </c>
      <c r="Q22" s="413" t="s">
        <v>23</v>
      </c>
      <c r="R22" s="381" t="s">
        <v>23</v>
      </c>
    </row>
    <row r="23" spans="2:18" ht="34" x14ac:dyDescent="0.2">
      <c r="B23" s="379">
        <v>9</v>
      </c>
      <c r="C23" s="380" t="s">
        <v>1583</v>
      </c>
      <c r="D23" s="379">
        <v>246</v>
      </c>
      <c r="E23" s="409">
        <v>2871.0819999999999</v>
      </c>
      <c r="F23" s="417">
        <v>102</v>
      </c>
      <c r="G23" s="380">
        <v>16</v>
      </c>
      <c r="H23" s="411" t="s">
        <v>841</v>
      </c>
      <c r="I23" s="413">
        <v>5.1349999999999998</v>
      </c>
      <c r="J23" s="380">
        <v>2</v>
      </c>
      <c r="K23" s="413">
        <v>1077.6590000000001</v>
      </c>
      <c r="L23" s="381">
        <v>104</v>
      </c>
      <c r="M23" s="380">
        <v>3</v>
      </c>
      <c r="N23" s="411" t="s">
        <v>2404</v>
      </c>
      <c r="O23" s="413">
        <v>5.1349999999999998</v>
      </c>
      <c r="P23" s="380">
        <v>2</v>
      </c>
      <c r="Q23" s="413">
        <v>812.54899999999998</v>
      </c>
      <c r="R23" s="381">
        <v>69</v>
      </c>
    </row>
    <row r="24" spans="2:18" ht="17" x14ac:dyDescent="0.2">
      <c r="B24" s="379">
        <v>10</v>
      </c>
      <c r="C24" s="380" t="s">
        <v>1864</v>
      </c>
      <c r="D24" s="379">
        <v>77</v>
      </c>
      <c r="E24" s="409">
        <v>986.68200000000002</v>
      </c>
      <c r="F24" s="417">
        <v>33</v>
      </c>
      <c r="G24" s="380">
        <v>0</v>
      </c>
      <c r="H24" s="411" t="s">
        <v>23</v>
      </c>
      <c r="I24" s="413" t="s">
        <v>23</v>
      </c>
      <c r="J24" s="380" t="s">
        <v>23</v>
      </c>
      <c r="K24" s="413" t="s">
        <v>23</v>
      </c>
      <c r="L24" s="381" t="s">
        <v>23</v>
      </c>
      <c r="M24" s="380">
        <v>0</v>
      </c>
      <c r="N24" s="411" t="s">
        <v>23</v>
      </c>
      <c r="O24" s="413" t="s">
        <v>23</v>
      </c>
      <c r="P24" s="380" t="s">
        <v>23</v>
      </c>
      <c r="Q24" s="413" t="s">
        <v>23</v>
      </c>
      <c r="R24" s="381" t="s">
        <v>23</v>
      </c>
    </row>
    <row r="25" spans="2:18" ht="17" x14ac:dyDescent="0.2">
      <c r="B25" s="379">
        <v>11</v>
      </c>
      <c r="C25" s="380" t="s">
        <v>1865</v>
      </c>
      <c r="D25" s="379">
        <v>33</v>
      </c>
      <c r="E25" s="409">
        <v>1048.2560000000001</v>
      </c>
      <c r="F25" s="417">
        <v>17</v>
      </c>
      <c r="G25" s="380">
        <v>0</v>
      </c>
      <c r="H25" s="411" t="s">
        <v>23</v>
      </c>
      <c r="I25" s="413" t="s">
        <v>23</v>
      </c>
      <c r="J25" s="380" t="s">
        <v>23</v>
      </c>
      <c r="K25" s="413" t="s">
        <v>23</v>
      </c>
      <c r="L25" s="381" t="s">
        <v>23</v>
      </c>
      <c r="M25" s="380">
        <v>0</v>
      </c>
      <c r="N25" s="411" t="s">
        <v>23</v>
      </c>
      <c r="O25" s="413" t="s">
        <v>23</v>
      </c>
      <c r="P25" s="380" t="s">
        <v>23</v>
      </c>
      <c r="Q25" s="413" t="s">
        <v>23</v>
      </c>
      <c r="R25" s="381" t="s">
        <v>23</v>
      </c>
    </row>
    <row r="26" spans="2:18" ht="17" x14ac:dyDescent="0.2">
      <c r="B26" s="379">
        <v>12</v>
      </c>
      <c r="C26" s="380" t="s">
        <v>1866</v>
      </c>
      <c r="D26" s="379">
        <v>74</v>
      </c>
      <c r="E26" s="409">
        <v>3116.34</v>
      </c>
      <c r="F26" s="417">
        <v>27</v>
      </c>
      <c r="G26" s="380">
        <v>0</v>
      </c>
      <c r="H26" s="411" t="s">
        <v>23</v>
      </c>
      <c r="I26" s="413" t="s">
        <v>23</v>
      </c>
      <c r="J26" s="380" t="s">
        <v>23</v>
      </c>
      <c r="K26" s="413" t="s">
        <v>23</v>
      </c>
      <c r="L26" s="381" t="s">
        <v>23</v>
      </c>
      <c r="M26" s="380">
        <v>0</v>
      </c>
      <c r="N26" s="411" t="s">
        <v>23</v>
      </c>
      <c r="O26" s="413" t="s">
        <v>23</v>
      </c>
      <c r="P26" s="380" t="s">
        <v>23</v>
      </c>
      <c r="Q26" s="413" t="s">
        <v>23</v>
      </c>
      <c r="R26" s="381" t="s">
        <v>23</v>
      </c>
    </row>
    <row r="27" spans="2:18" ht="17" x14ac:dyDescent="0.2">
      <c r="B27" s="379">
        <v>13</v>
      </c>
      <c r="C27" s="380" t="s">
        <v>1867</v>
      </c>
      <c r="D27" s="379">
        <v>49</v>
      </c>
      <c r="E27" s="409">
        <v>5126.2280000000001</v>
      </c>
      <c r="F27" s="417">
        <v>8</v>
      </c>
      <c r="G27" s="380">
        <v>1</v>
      </c>
      <c r="H27" s="411" t="s">
        <v>751</v>
      </c>
      <c r="I27" s="413">
        <v>39.893000000000001</v>
      </c>
      <c r="J27" s="380">
        <v>2</v>
      </c>
      <c r="K27" s="413">
        <v>39.893000000000001</v>
      </c>
      <c r="L27" s="381">
        <v>2</v>
      </c>
      <c r="M27" s="380">
        <v>0</v>
      </c>
      <c r="N27" s="411" t="s">
        <v>23</v>
      </c>
      <c r="O27" s="413" t="s">
        <v>23</v>
      </c>
      <c r="P27" s="380" t="s">
        <v>23</v>
      </c>
      <c r="Q27" s="413" t="s">
        <v>23</v>
      </c>
      <c r="R27" s="381" t="s">
        <v>23</v>
      </c>
    </row>
    <row r="28" spans="2:18" ht="17" x14ac:dyDescent="0.2">
      <c r="B28" s="379">
        <v>14</v>
      </c>
      <c r="C28" s="380" t="s">
        <v>1868</v>
      </c>
      <c r="D28" s="379">
        <v>60</v>
      </c>
      <c r="E28" s="409">
        <v>1481.53</v>
      </c>
      <c r="F28" s="417">
        <v>21</v>
      </c>
      <c r="G28" s="380">
        <v>3</v>
      </c>
      <c r="H28" s="411" t="s">
        <v>842</v>
      </c>
      <c r="I28" s="413">
        <v>7.3159999999999998</v>
      </c>
      <c r="J28" s="380">
        <v>2</v>
      </c>
      <c r="K28" s="413">
        <v>29.771999999999998</v>
      </c>
      <c r="L28" s="381">
        <v>6</v>
      </c>
      <c r="M28" s="380">
        <v>3</v>
      </c>
      <c r="N28" s="411" t="s">
        <v>842</v>
      </c>
      <c r="O28" s="413">
        <v>7.3159999999999998</v>
      </c>
      <c r="P28" s="380">
        <v>2</v>
      </c>
      <c r="Q28" s="413">
        <v>29.771999999999998</v>
      </c>
      <c r="R28" s="381">
        <v>6</v>
      </c>
    </row>
    <row r="29" spans="2:18" ht="17" x14ac:dyDescent="0.2">
      <c r="B29" s="379">
        <v>15</v>
      </c>
      <c r="C29" s="380" t="s">
        <v>1869</v>
      </c>
      <c r="D29" s="379">
        <v>116</v>
      </c>
      <c r="E29" s="409">
        <v>3579.085</v>
      </c>
      <c r="F29" s="417">
        <v>40</v>
      </c>
      <c r="G29" s="380">
        <v>3</v>
      </c>
      <c r="H29" s="411" t="s">
        <v>895</v>
      </c>
      <c r="I29" s="413">
        <v>53.433</v>
      </c>
      <c r="J29" s="380">
        <v>2</v>
      </c>
      <c r="K29" s="413">
        <v>125.09699999999999</v>
      </c>
      <c r="L29" s="381">
        <v>5</v>
      </c>
      <c r="M29" s="380">
        <v>0</v>
      </c>
      <c r="N29" s="411" t="s">
        <v>23</v>
      </c>
      <c r="O29" s="413" t="s">
        <v>23</v>
      </c>
      <c r="P29" s="380" t="s">
        <v>23</v>
      </c>
      <c r="Q29" s="413" t="s">
        <v>23</v>
      </c>
      <c r="R29" s="381" t="s">
        <v>23</v>
      </c>
    </row>
    <row r="30" spans="2:18" ht="17" x14ac:dyDescent="0.2">
      <c r="B30" s="379">
        <v>16</v>
      </c>
      <c r="C30" s="380" t="s">
        <v>1813</v>
      </c>
      <c r="D30" s="379">
        <v>62</v>
      </c>
      <c r="E30" s="409">
        <v>3608.7289999999998</v>
      </c>
      <c r="F30" s="417">
        <v>17</v>
      </c>
      <c r="G30" s="380">
        <v>6</v>
      </c>
      <c r="H30" s="411" t="s">
        <v>896</v>
      </c>
      <c r="I30" s="413">
        <v>92.617000000000004</v>
      </c>
      <c r="J30" s="380">
        <v>5</v>
      </c>
      <c r="K30" s="413">
        <v>1350.683</v>
      </c>
      <c r="L30" s="381">
        <v>38</v>
      </c>
      <c r="M30" s="380">
        <v>1</v>
      </c>
      <c r="N30" s="411" t="s">
        <v>755</v>
      </c>
      <c r="O30" s="413">
        <v>332.10700000000003</v>
      </c>
      <c r="P30" s="380">
        <v>16</v>
      </c>
      <c r="Q30" s="413">
        <v>332.10700000000003</v>
      </c>
      <c r="R30" s="381">
        <v>16</v>
      </c>
    </row>
    <row r="31" spans="2:18" ht="17" x14ac:dyDescent="0.2">
      <c r="B31" s="379">
        <v>17</v>
      </c>
      <c r="C31" s="380" t="s">
        <v>1870</v>
      </c>
      <c r="D31" s="379">
        <v>51</v>
      </c>
      <c r="E31" s="409">
        <v>2526.884</v>
      </c>
      <c r="F31" s="417">
        <v>11</v>
      </c>
      <c r="G31" s="380">
        <v>0</v>
      </c>
      <c r="H31" s="411" t="s">
        <v>23</v>
      </c>
      <c r="I31" s="413" t="s">
        <v>23</v>
      </c>
      <c r="J31" s="380" t="s">
        <v>23</v>
      </c>
      <c r="K31" s="413" t="s">
        <v>23</v>
      </c>
      <c r="L31" s="381" t="s">
        <v>23</v>
      </c>
      <c r="M31" s="380">
        <v>0</v>
      </c>
      <c r="N31" s="411" t="s">
        <v>23</v>
      </c>
      <c r="O31" s="413" t="s">
        <v>23</v>
      </c>
      <c r="P31" s="380" t="s">
        <v>23</v>
      </c>
      <c r="Q31" s="413" t="s">
        <v>23</v>
      </c>
      <c r="R31" s="381" t="s">
        <v>23</v>
      </c>
    </row>
    <row r="32" spans="2:18" ht="17" x14ac:dyDescent="0.2">
      <c r="B32" s="379">
        <v>18</v>
      </c>
      <c r="C32" s="380" t="s">
        <v>1589</v>
      </c>
      <c r="D32" s="379">
        <v>64</v>
      </c>
      <c r="E32" s="409">
        <v>3650.35</v>
      </c>
      <c r="F32" s="417">
        <v>15</v>
      </c>
      <c r="G32" s="380">
        <v>0</v>
      </c>
      <c r="H32" s="411" t="s">
        <v>23</v>
      </c>
      <c r="I32" s="413" t="s">
        <v>23</v>
      </c>
      <c r="J32" s="380" t="s">
        <v>23</v>
      </c>
      <c r="K32" s="413" t="s">
        <v>23</v>
      </c>
      <c r="L32" s="381" t="s">
        <v>23</v>
      </c>
      <c r="M32" s="380">
        <v>0</v>
      </c>
      <c r="N32" s="411" t="s">
        <v>23</v>
      </c>
      <c r="O32" s="413" t="s">
        <v>23</v>
      </c>
      <c r="P32" s="380" t="s">
        <v>23</v>
      </c>
      <c r="Q32" s="413" t="s">
        <v>23</v>
      </c>
      <c r="R32" s="381" t="s">
        <v>23</v>
      </c>
    </row>
    <row r="33" spans="2:18" ht="17" x14ac:dyDescent="0.2">
      <c r="B33" s="379">
        <v>19</v>
      </c>
      <c r="C33" s="380" t="s">
        <v>1871</v>
      </c>
      <c r="D33" s="379">
        <v>74</v>
      </c>
      <c r="E33" s="409">
        <v>5039.1450000000004</v>
      </c>
      <c r="F33" s="417">
        <v>27</v>
      </c>
      <c r="G33" s="380">
        <v>0</v>
      </c>
      <c r="H33" s="411" t="s">
        <v>23</v>
      </c>
      <c r="I33" s="413" t="s">
        <v>23</v>
      </c>
      <c r="J33" s="380" t="s">
        <v>23</v>
      </c>
      <c r="K33" s="413" t="s">
        <v>23</v>
      </c>
      <c r="L33" s="381" t="s">
        <v>23</v>
      </c>
      <c r="M33" s="380">
        <v>0</v>
      </c>
      <c r="N33" s="411" t="s">
        <v>23</v>
      </c>
      <c r="O33" s="413" t="s">
        <v>23</v>
      </c>
      <c r="P33" s="380" t="s">
        <v>23</v>
      </c>
      <c r="Q33" s="413" t="s">
        <v>23</v>
      </c>
      <c r="R33" s="381" t="s">
        <v>23</v>
      </c>
    </row>
    <row r="34" spans="2:18" ht="17" x14ac:dyDescent="0.2">
      <c r="B34" s="379">
        <v>20</v>
      </c>
      <c r="C34" s="380" t="s">
        <v>1872</v>
      </c>
      <c r="D34" s="379">
        <v>27</v>
      </c>
      <c r="E34" s="409">
        <v>1409.3520000000001</v>
      </c>
      <c r="F34" s="417">
        <v>6</v>
      </c>
      <c r="G34" s="380">
        <v>0</v>
      </c>
      <c r="H34" s="411" t="s">
        <v>23</v>
      </c>
      <c r="I34" s="413" t="s">
        <v>23</v>
      </c>
      <c r="J34" s="380" t="s">
        <v>23</v>
      </c>
      <c r="K34" s="413" t="s">
        <v>23</v>
      </c>
      <c r="L34" s="381" t="s">
        <v>23</v>
      </c>
      <c r="M34" s="380">
        <v>0</v>
      </c>
      <c r="N34" s="411" t="s">
        <v>23</v>
      </c>
      <c r="O34" s="413" t="s">
        <v>23</v>
      </c>
      <c r="P34" s="380" t="s">
        <v>23</v>
      </c>
      <c r="Q34" s="413" t="s">
        <v>23</v>
      </c>
      <c r="R34" s="381" t="s">
        <v>23</v>
      </c>
    </row>
    <row r="35" spans="2:18" ht="17" x14ac:dyDescent="0.2">
      <c r="B35" s="379">
        <v>21</v>
      </c>
      <c r="C35" s="380" t="s">
        <v>1873</v>
      </c>
      <c r="D35" s="379">
        <v>28</v>
      </c>
      <c r="E35" s="409">
        <v>960.53200000000004</v>
      </c>
      <c r="F35" s="417">
        <v>11</v>
      </c>
      <c r="G35" s="380">
        <v>0</v>
      </c>
      <c r="H35" s="411" t="s">
        <v>23</v>
      </c>
      <c r="I35" s="413" t="s">
        <v>23</v>
      </c>
      <c r="J35" s="380" t="s">
        <v>23</v>
      </c>
      <c r="K35" s="413" t="s">
        <v>23</v>
      </c>
      <c r="L35" s="381" t="s">
        <v>23</v>
      </c>
      <c r="M35" s="380">
        <v>0</v>
      </c>
      <c r="N35" s="411" t="s">
        <v>23</v>
      </c>
      <c r="O35" s="413" t="s">
        <v>23</v>
      </c>
      <c r="P35" s="380" t="s">
        <v>23</v>
      </c>
      <c r="Q35" s="413" t="s">
        <v>23</v>
      </c>
      <c r="R35" s="381" t="s">
        <v>23</v>
      </c>
    </row>
    <row r="36" spans="2:18" ht="17" x14ac:dyDescent="0.2">
      <c r="B36" s="379">
        <v>22</v>
      </c>
      <c r="C36" s="380" t="s">
        <v>1874</v>
      </c>
      <c r="D36" s="379">
        <v>50</v>
      </c>
      <c r="E36" s="409">
        <v>906.78099999999995</v>
      </c>
      <c r="F36" s="417">
        <v>15</v>
      </c>
      <c r="G36" s="380">
        <v>0</v>
      </c>
      <c r="H36" s="411" t="s">
        <v>23</v>
      </c>
      <c r="I36" s="413" t="s">
        <v>23</v>
      </c>
      <c r="J36" s="380" t="s">
        <v>23</v>
      </c>
      <c r="K36" s="413" t="s">
        <v>23</v>
      </c>
      <c r="L36" s="381" t="s">
        <v>23</v>
      </c>
      <c r="M36" s="380">
        <v>0</v>
      </c>
      <c r="N36" s="411" t="s">
        <v>23</v>
      </c>
      <c r="O36" s="413" t="s">
        <v>23</v>
      </c>
      <c r="P36" s="380" t="s">
        <v>23</v>
      </c>
      <c r="Q36" s="413" t="s">
        <v>23</v>
      </c>
      <c r="R36" s="381" t="s">
        <v>23</v>
      </c>
    </row>
    <row r="37" spans="2:18" ht="17" x14ac:dyDescent="0.2">
      <c r="B37" s="379">
        <v>23</v>
      </c>
      <c r="C37" s="380" t="s">
        <v>1875</v>
      </c>
      <c r="D37" s="379">
        <v>41</v>
      </c>
      <c r="E37" s="409">
        <v>974.82299999999998</v>
      </c>
      <c r="F37" s="417">
        <v>16</v>
      </c>
      <c r="G37" s="380">
        <v>0</v>
      </c>
      <c r="H37" s="411" t="s">
        <v>23</v>
      </c>
      <c r="I37" s="413" t="s">
        <v>23</v>
      </c>
      <c r="J37" s="380" t="s">
        <v>23</v>
      </c>
      <c r="K37" s="413" t="s">
        <v>23</v>
      </c>
      <c r="L37" s="381" t="s">
        <v>23</v>
      </c>
      <c r="M37" s="380">
        <v>0</v>
      </c>
      <c r="N37" s="411" t="s">
        <v>23</v>
      </c>
      <c r="O37" s="413" t="s">
        <v>23</v>
      </c>
      <c r="P37" s="380" t="s">
        <v>23</v>
      </c>
      <c r="Q37" s="413" t="s">
        <v>23</v>
      </c>
      <c r="R37" s="381" t="s">
        <v>23</v>
      </c>
    </row>
    <row r="38" spans="2:18" ht="17" x14ac:dyDescent="0.2">
      <c r="B38" s="379">
        <v>24</v>
      </c>
      <c r="C38" s="380" t="s">
        <v>1876</v>
      </c>
      <c r="D38" s="379">
        <v>59</v>
      </c>
      <c r="E38" s="409">
        <v>3373.71</v>
      </c>
      <c r="F38" s="417">
        <v>19</v>
      </c>
      <c r="G38" s="380">
        <v>0</v>
      </c>
      <c r="H38" s="411" t="s">
        <v>23</v>
      </c>
      <c r="I38" s="413" t="s">
        <v>23</v>
      </c>
      <c r="J38" s="380" t="s">
        <v>23</v>
      </c>
      <c r="K38" s="413" t="s">
        <v>23</v>
      </c>
      <c r="L38" s="381" t="s">
        <v>23</v>
      </c>
      <c r="M38" s="380">
        <v>0</v>
      </c>
      <c r="N38" s="411" t="s">
        <v>23</v>
      </c>
      <c r="O38" s="413" t="s">
        <v>23</v>
      </c>
      <c r="P38" s="380" t="s">
        <v>23</v>
      </c>
      <c r="Q38" s="413" t="s">
        <v>23</v>
      </c>
      <c r="R38" s="381" t="s">
        <v>23</v>
      </c>
    </row>
    <row r="39" spans="2:18" ht="17" x14ac:dyDescent="0.2">
      <c r="B39" s="379">
        <v>25</v>
      </c>
      <c r="C39" s="380" t="s">
        <v>1877</v>
      </c>
      <c r="D39" s="379">
        <v>126</v>
      </c>
      <c r="E39" s="409">
        <v>24007.487000000001</v>
      </c>
      <c r="F39" s="417">
        <v>30</v>
      </c>
      <c r="G39" s="380">
        <v>0</v>
      </c>
      <c r="H39" s="411" t="s">
        <v>23</v>
      </c>
      <c r="I39" s="413" t="s">
        <v>23</v>
      </c>
      <c r="J39" s="380" t="s">
        <v>23</v>
      </c>
      <c r="K39" s="413" t="s">
        <v>23</v>
      </c>
      <c r="L39" s="381" t="s">
        <v>23</v>
      </c>
      <c r="M39" s="380">
        <v>0</v>
      </c>
      <c r="N39" s="411" t="s">
        <v>23</v>
      </c>
      <c r="O39" s="413" t="s">
        <v>23</v>
      </c>
      <c r="P39" s="380" t="s">
        <v>23</v>
      </c>
      <c r="Q39" s="413" t="s">
        <v>23</v>
      </c>
      <c r="R39" s="381" t="s">
        <v>23</v>
      </c>
    </row>
    <row r="40" spans="2:18" ht="17" x14ac:dyDescent="0.2">
      <c r="B40" s="379">
        <v>26</v>
      </c>
      <c r="C40" s="380" t="s">
        <v>1878</v>
      </c>
      <c r="D40" s="379">
        <v>107</v>
      </c>
      <c r="E40" s="409">
        <v>11463.704</v>
      </c>
      <c r="F40" s="417">
        <v>35</v>
      </c>
      <c r="G40" s="380">
        <v>0</v>
      </c>
      <c r="H40" s="411" t="s">
        <v>23</v>
      </c>
      <c r="I40" s="413" t="s">
        <v>23</v>
      </c>
      <c r="J40" s="380" t="s">
        <v>23</v>
      </c>
      <c r="K40" s="413" t="s">
        <v>23</v>
      </c>
      <c r="L40" s="381" t="s">
        <v>23</v>
      </c>
      <c r="M40" s="380">
        <v>0</v>
      </c>
      <c r="N40" s="411" t="s">
        <v>23</v>
      </c>
      <c r="O40" s="413" t="s">
        <v>23</v>
      </c>
      <c r="P40" s="380" t="s">
        <v>23</v>
      </c>
      <c r="Q40" s="413" t="s">
        <v>23</v>
      </c>
      <c r="R40" s="381" t="s">
        <v>23</v>
      </c>
    </row>
    <row r="41" spans="2:18" ht="17" x14ac:dyDescent="0.2">
      <c r="B41" s="379">
        <v>27</v>
      </c>
      <c r="C41" s="380" t="s">
        <v>1879</v>
      </c>
      <c r="D41" s="379">
        <v>20</v>
      </c>
      <c r="E41" s="409">
        <v>954.38599999999997</v>
      </c>
      <c r="F41" s="417">
        <v>5</v>
      </c>
      <c r="G41" s="380">
        <v>0</v>
      </c>
      <c r="H41" s="411" t="s">
        <v>23</v>
      </c>
      <c r="I41" s="413" t="s">
        <v>23</v>
      </c>
      <c r="J41" s="380" t="s">
        <v>23</v>
      </c>
      <c r="K41" s="413" t="s">
        <v>23</v>
      </c>
      <c r="L41" s="381" t="s">
        <v>23</v>
      </c>
      <c r="M41" s="380">
        <v>0</v>
      </c>
      <c r="N41" s="411" t="s">
        <v>23</v>
      </c>
      <c r="O41" s="413" t="s">
        <v>23</v>
      </c>
      <c r="P41" s="380" t="s">
        <v>23</v>
      </c>
      <c r="Q41" s="413" t="s">
        <v>23</v>
      </c>
      <c r="R41" s="381" t="s">
        <v>23</v>
      </c>
    </row>
    <row r="42" spans="2:18" ht="17" x14ac:dyDescent="0.2">
      <c r="B42" s="379">
        <v>28</v>
      </c>
      <c r="C42" s="380" t="s">
        <v>1817</v>
      </c>
      <c r="D42" s="379">
        <v>3</v>
      </c>
      <c r="E42" s="409">
        <v>330.82499999999999</v>
      </c>
      <c r="F42" s="417">
        <v>1</v>
      </c>
      <c r="G42" s="380">
        <v>0</v>
      </c>
      <c r="H42" s="411" t="s">
        <v>23</v>
      </c>
      <c r="I42" s="413" t="s">
        <v>23</v>
      </c>
      <c r="J42" s="380" t="s">
        <v>23</v>
      </c>
      <c r="K42" s="413" t="s">
        <v>23</v>
      </c>
      <c r="L42" s="381" t="s">
        <v>23</v>
      </c>
      <c r="M42" s="380">
        <v>0</v>
      </c>
      <c r="N42" s="411" t="s">
        <v>23</v>
      </c>
      <c r="O42" s="413" t="s">
        <v>23</v>
      </c>
      <c r="P42" s="380" t="s">
        <v>23</v>
      </c>
      <c r="Q42" s="413" t="s">
        <v>23</v>
      </c>
      <c r="R42" s="381" t="s">
        <v>23</v>
      </c>
    </row>
    <row r="43" spans="2:18" ht="17" x14ac:dyDescent="0.2">
      <c r="B43" s="379">
        <v>29</v>
      </c>
      <c r="C43" s="380" t="s">
        <v>1880</v>
      </c>
      <c r="D43" s="379">
        <v>9</v>
      </c>
      <c r="E43" s="409">
        <v>917.82500000000005</v>
      </c>
      <c r="F43" s="417">
        <v>3</v>
      </c>
      <c r="G43" s="380">
        <v>0</v>
      </c>
      <c r="H43" s="411" t="s">
        <v>23</v>
      </c>
      <c r="I43" s="413" t="s">
        <v>23</v>
      </c>
      <c r="J43" s="380" t="s">
        <v>23</v>
      </c>
      <c r="K43" s="413" t="s">
        <v>23</v>
      </c>
      <c r="L43" s="381" t="s">
        <v>23</v>
      </c>
      <c r="M43" s="380">
        <v>0</v>
      </c>
      <c r="N43" s="411" t="s">
        <v>23</v>
      </c>
      <c r="O43" s="413" t="s">
        <v>23</v>
      </c>
      <c r="P43" s="380" t="s">
        <v>23</v>
      </c>
      <c r="Q43" s="413" t="s">
        <v>23</v>
      </c>
      <c r="R43" s="381" t="s">
        <v>23</v>
      </c>
    </row>
    <row r="44" spans="2:18" ht="17" x14ac:dyDescent="0.2">
      <c r="B44" s="379">
        <v>30</v>
      </c>
      <c r="C44" s="380" t="s">
        <v>1881</v>
      </c>
      <c r="D44" s="379">
        <v>89</v>
      </c>
      <c r="E44" s="409">
        <v>1558.3920000000001</v>
      </c>
      <c r="F44" s="417">
        <v>44</v>
      </c>
      <c r="G44" s="380">
        <v>0</v>
      </c>
      <c r="H44" s="411" t="s">
        <v>23</v>
      </c>
      <c r="I44" s="413" t="s">
        <v>23</v>
      </c>
      <c r="J44" s="380" t="s">
        <v>23</v>
      </c>
      <c r="K44" s="413" t="s">
        <v>23</v>
      </c>
      <c r="L44" s="381" t="s">
        <v>23</v>
      </c>
      <c r="M44" s="380">
        <v>0</v>
      </c>
      <c r="N44" s="411" t="s">
        <v>23</v>
      </c>
      <c r="O44" s="413" t="s">
        <v>23</v>
      </c>
      <c r="P44" s="380" t="s">
        <v>23</v>
      </c>
      <c r="Q44" s="413" t="s">
        <v>23</v>
      </c>
      <c r="R44" s="381" t="s">
        <v>23</v>
      </c>
    </row>
    <row r="45" spans="2:18" ht="17" x14ac:dyDescent="0.2">
      <c r="B45" s="379">
        <v>31</v>
      </c>
      <c r="C45" s="380" t="s">
        <v>1882</v>
      </c>
      <c r="D45" s="379">
        <v>84</v>
      </c>
      <c r="E45" s="409">
        <v>8019.8909999999996</v>
      </c>
      <c r="F45" s="417">
        <v>30</v>
      </c>
      <c r="G45" s="380">
        <v>0</v>
      </c>
      <c r="H45" s="411" t="s">
        <v>23</v>
      </c>
      <c r="I45" s="413" t="s">
        <v>23</v>
      </c>
      <c r="J45" s="380" t="s">
        <v>23</v>
      </c>
      <c r="K45" s="413" t="s">
        <v>23</v>
      </c>
      <c r="L45" s="381" t="s">
        <v>23</v>
      </c>
      <c r="M45" s="380">
        <v>0</v>
      </c>
      <c r="N45" s="411" t="s">
        <v>23</v>
      </c>
      <c r="O45" s="413" t="s">
        <v>23</v>
      </c>
      <c r="P45" s="380" t="s">
        <v>23</v>
      </c>
      <c r="Q45" s="413" t="s">
        <v>23</v>
      </c>
      <c r="R45" s="381" t="s">
        <v>23</v>
      </c>
    </row>
    <row r="46" spans="2:18" ht="17" x14ac:dyDescent="0.2">
      <c r="B46" s="379">
        <v>32</v>
      </c>
      <c r="C46" s="380" t="s">
        <v>1595</v>
      </c>
      <c r="D46" s="379">
        <v>27</v>
      </c>
      <c r="E46" s="409">
        <v>1194.8219999999999</v>
      </c>
      <c r="F46" s="417">
        <v>9</v>
      </c>
      <c r="G46" s="380">
        <v>0</v>
      </c>
      <c r="H46" s="411" t="s">
        <v>23</v>
      </c>
      <c r="I46" s="413" t="s">
        <v>23</v>
      </c>
      <c r="J46" s="380" t="s">
        <v>23</v>
      </c>
      <c r="K46" s="413" t="s">
        <v>23</v>
      </c>
      <c r="L46" s="381" t="s">
        <v>23</v>
      </c>
      <c r="M46" s="380">
        <v>0</v>
      </c>
      <c r="N46" s="411" t="s">
        <v>23</v>
      </c>
      <c r="O46" s="413" t="s">
        <v>23</v>
      </c>
      <c r="P46" s="380" t="s">
        <v>23</v>
      </c>
      <c r="Q46" s="413" t="s">
        <v>23</v>
      </c>
      <c r="R46" s="381" t="s">
        <v>23</v>
      </c>
    </row>
    <row r="47" spans="2:18" ht="17" x14ac:dyDescent="0.2">
      <c r="B47" s="379">
        <v>33</v>
      </c>
      <c r="C47" s="380" t="s">
        <v>1883</v>
      </c>
      <c r="D47" s="379">
        <v>115</v>
      </c>
      <c r="E47" s="409">
        <v>13764.396000000001</v>
      </c>
      <c r="F47" s="417">
        <v>24</v>
      </c>
      <c r="G47" s="380">
        <v>0</v>
      </c>
      <c r="H47" s="411" t="s">
        <v>23</v>
      </c>
      <c r="I47" s="413" t="s">
        <v>23</v>
      </c>
      <c r="J47" s="380" t="s">
        <v>23</v>
      </c>
      <c r="K47" s="413" t="s">
        <v>23</v>
      </c>
      <c r="L47" s="381" t="s">
        <v>23</v>
      </c>
      <c r="M47" s="380">
        <v>0</v>
      </c>
      <c r="N47" s="411" t="s">
        <v>23</v>
      </c>
      <c r="O47" s="413" t="s">
        <v>23</v>
      </c>
      <c r="P47" s="380" t="s">
        <v>23</v>
      </c>
      <c r="Q47" s="413" t="s">
        <v>23</v>
      </c>
      <c r="R47" s="381" t="s">
        <v>23</v>
      </c>
    </row>
    <row r="48" spans="2:18" ht="17" x14ac:dyDescent="0.2">
      <c r="B48" s="379">
        <v>34</v>
      </c>
      <c r="C48" s="380" t="s">
        <v>1884</v>
      </c>
      <c r="D48" s="379">
        <v>29</v>
      </c>
      <c r="E48" s="409">
        <v>989.05700000000002</v>
      </c>
      <c r="F48" s="417">
        <v>4</v>
      </c>
      <c r="G48" s="380">
        <v>0</v>
      </c>
      <c r="H48" s="411" t="s">
        <v>23</v>
      </c>
      <c r="I48" s="413" t="s">
        <v>23</v>
      </c>
      <c r="J48" s="380" t="s">
        <v>23</v>
      </c>
      <c r="K48" s="413" t="s">
        <v>23</v>
      </c>
      <c r="L48" s="381" t="s">
        <v>23</v>
      </c>
      <c r="M48" s="380">
        <v>0</v>
      </c>
      <c r="N48" s="411" t="s">
        <v>23</v>
      </c>
      <c r="O48" s="413" t="s">
        <v>23</v>
      </c>
      <c r="P48" s="380" t="s">
        <v>23</v>
      </c>
      <c r="Q48" s="413" t="s">
        <v>23</v>
      </c>
      <c r="R48" s="381" t="s">
        <v>23</v>
      </c>
    </row>
    <row r="49" spans="2:18" ht="17" x14ac:dyDescent="0.2">
      <c r="B49" s="379">
        <v>35</v>
      </c>
      <c r="C49" s="380" t="s">
        <v>1599</v>
      </c>
      <c r="D49" s="379">
        <v>30</v>
      </c>
      <c r="E49" s="409">
        <v>961.88</v>
      </c>
      <c r="F49" s="417">
        <v>10</v>
      </c>
      <c r="G49" s="380">
        <v>1</v>
      </c>
      <c r="H49" s="411" t="s">
        <v>758</v>
      </c>
      <c r="I49" s="413">
        <v>23.338000000000001</v>
      </c>
      <c r="J49" s="380">
        <v>3</v>
      </c>
      <c r="K49" s="413">
        <v>23.338000000000001</v>
      </c>
      <c r="L49" s="381">
        <v>3</v>
      </c>
      <c r="M49" s="380">
        <v>1</v>
      </c>
      <c r="N49" s="411" t="s">
        <v>758</v>
      </c>
      <c r="O49" s="413">
        <v>23.338000000000001</v>
      </c>
      <c r="P49" s="380">
        <v>3</v>
      </c>
      <c r="Q49" s="413">
        <v>23.338000000000001</v>
      </c>
      <c r="R49" s="381">
        <v>3</v>
      </c>
    </row>
    <row r="50" spans="2:18" ht="34" x14ac:dyDescent="0.2">
      <c r="B50" s="379">
        <v>36</v>
      </c>
      <c r="C50" s="380" t="s">
        <v>1608</v>
      </c>
      <c r="D50" s="379">
        <v>115</v>
      </c>
      <c r="E50" s="409">
        <v>5011.7259999999997</v>
      </c>
      <c r="F50" s="417">
        <v>43</v>
      </c>
      <c r="G50" s="380">
        <v>9</v>
      </c>
      <c r="H50" s="411" t="s">
        <v>843</v>
      </c>
      <c r="I50" s="413">
        <v>13.180999999999999</v>
      </c>
      <c r="J50" s="380">
        <v>3</v>
      </c>
      <c r="K50" s="413">
        <v>1396.7539999999999</v>
      </c>
      <c r="L50" s="381">
        <v>56</v>
      </c>
      <c r="M50" s="380">
        <v>2</v>
      </c>
      <c r="N50" s="411" t="s">
        <v>2405</v>
      </c>
      <c r="O50" s="413">
        <v>13.180999999999999</v>
      </c>
      <c r="P50" s="380">
        <v>3</v>
      </c>
      <c r="Q50" s="413">
        <v>391.20499999999998</v>
      </c>
      <c r="R50" s="381">
        <v>29</v>
      </c>
    </row>
    <row r="51" spans="2:18" ht="17" x14ac:dyDescent="0.2">
      <c r="B51" s="379">
        <v>37</v>
      </c>
      <c r="C51" s="380" t="s">
        <v>1885</v>
      </c>
      <c r="D51" s="379">
        <v>59</v>
      </c>
      <c r="E51" s="409">
        <v>1582.4570000000001</v>
      </c>
      <c r="F51" s="417">
        <v>20</v>
      </c>
      <c r="G51" s="380">
        <v>1</v>
      </c>
      <c r="H51" s="411" t="s">
        <v>761</v>
      </c>
      <c r="I51" s="413">
        <v>6.0949999999999998</v>
      </c>
      <c r="J51" s="380">
        <v>2</v>
      </c>
      <c r="K51" s="413">
        <v>6.0949999999999998</v>
      </c>
      <c r="L51" s="381">
        <v>2</v>
      </c>
      <c r="M51" s="380">
        <v>0</v>
      </c>
      <c r="N51" s="411" t="s">
        <v>23</v>
      </c>
      <c r="O51" s="413" t="s">
        <v>23</v>
      </c>
      <c r="P51" s="380" t="s">
        <v>23</v>
      </c>
      <c r="Q51" s="413" t="s">
        <v>23</v>
      </c>
      <c r="R51" s="381" t="s">
        <v>23</v>
      </c>
    </row>
    <row r="52" spans="2:18" ht="17" x14ac:dyDescent="0.2">
      <c r="B52" s="379">
        <v>38</v>
      </c>
      <c r="C52" s="380" t="s">
        <v>1819</v>
      </c>
      <c r="D52" s="379">
        <v>59</v>
      </c>
      <c r="E52" s="409">
        <v>3359.5059999999999</v>
      </c>
      <c r="F52" s="417">
        <v>13</v>
      </c>
      <c r="G52" s="380">
        <v>2</v>
      </c>
      <c r="H52" s="411" t="s">
        <v>844</v>
      </c>
      <c r="I52" s="413">
        <v>299.56900000000002</v>
      </c>
      <c r="J52" s="380">
        <v>11</v>
      </c>
      <c r="K52" s="413">
        <v>552.01199999999994</v>
      </c>
      <c r="L52" s="381">
        <v>16</v>
      </c>
      <c r="M52" s="380">
        <v>0</v>
      </c>
      <c r="N52" s="411" t="s">
        <v>23</v>
      </c>
      <c r="O52" s="413" t="s">
        <v>23</v>
      </c>
      <c r="P52" s="380" t="s">
        <v>23</v>
      </c>
      <c r="Q52" s="413" t="s">
        <v>23</v>
      </c>
      <c r="R52" s="381" t="s">
        <v>23</v>
      </c>
    </row>
    <row r="53" spans="2:18" ht="17" x14ac:dyDescent="0.2">
      <c r="B53" s="379">
        <v>39</v>
      </c>
      <c r="C53" s="380" t="s">
        <v>1886</v>
      </c>
      <c r="D53" s="379">
        <v>26</v>
      </c>
      <c r="E53" s="409">
        <v>951.32600000000002</v>
      </c>
      <c r="F53" s="417">
        <v>8</v>
      </c>
      <c r="G53" s="380">
        <v>0</v>
      </c>
      <c r="H53" s="411" t="s">
        <v>23</v>
      </c>
      <c r="I53" s="413" t="s">
        <v>23</v>
      </c>
      <c r="J53" s="380" t="s">
        <v>23</v>
      </c>
      <c r="K53" s="413" t="s">
        <v>23</v>
      </c>
      <c r="L53" s="381" t="s">
        <v>23</v>
      </c>
      <c r="M53" s="380">
        <v>0</v>
      </c>
      <c r="N53" s="411" t="s">
        <v>23</v>
      </c>
      <c r="O53" s="413" t="s">
        <v>23</v>
      </c>
      <c r="P53" s="380" t="s">
        <v>23</v>
      </c>
      <c r="Q53" s="413" t="s">
        <v>23</v>
      </c>
      <c r="R53" s="381" t="s">
        <v>23</v>
      </c>
    </row>
    <row r="54" spans="2:18" ht="17" x14ac:dyDescent="0.2">
      <c r="B54" s="379">
        <v>40</v>
      </c>
      <c r="C54" s="380" t="s">
        <v>1887</v>
      </c>
      <c r="D54" s="379">
        <v>21</v>
      </c>
      <c r="E54" s="409">
        <v>976.71199999999999</v>
      </c>
      <c r="F54" s="417">
        <v>4</v>
      </c>
      <c r="G54" s="380">
        <v>0</v>
      </c>
      <c r="H54" s="411" t="s">
        <v>23</v>
      </c>
      <c r="I54" s="413" t="s">
        <v>23</v>
      </c>
      <c r="J54" s="380" t="s">
        <v>23</v>
      </c>
      <c r="K54" s="413" t="s">
        <v>23</v>
      </c>
      <c r="L54" s="381" t="s">
        <v>23</v>
      </c>
      <c r="M54" s="380">
        <v>0</v>
      </c>
      <c r="N54" s="411" t="s">
        <v>23</v>
      </c>
      <c r="O54" s="413" t="s">
        <v>23</v>
      </c>
      <c r="P54" s="380" t="s">
        <v>23</v>
      </c>
      <c r="Q54" s="413" t="s">
        <v>23</v>
      </c>
      <c r="R54" s="381" t="s">
        <v>23</v>
      </c>
    </row>
    <row r="55" spans="2:18" ht="17" x14ac:dyDescent="0.2">
      <c r="B55" s="379">
        <v>42</v>
      </c>
      <c r="C55" s="380" t="s">
        <v>1613</v>
      </c>
      <c r="D55" s="379">
        <v>118</v>
      </c>
      <c r="E55" s="409">
        <v>11187.599</v>
      </c>
      <c r="F55" s="417">
        <v>41</v>
      </c>
      <c r="G55" s="380">
        <v>3</v>
      </c>
      <c r="H55" s="411" t="s">
        <v>845</v>
      </c>
      <c r="I55" s="413">
        <v>332.72</v>
      </c>
      <c r="J55" s="380">
        <v>12</v>
      </c>
      <c r="K55" s="413">
        <v>495.53199999999998</v>
      </c>
      <c r="L55" s="381">
        <v>16</v>
      </c>
      <c r="M55" s="380">
        <v>1</v>
      </c>
      <c r="N55" s="411" t="s">
        <v>762</v>
      </c>
      <c r="O55" s="413">
        <v>332.72</v>
      </c>
      <c r="P55" s="380">
        <v>12</v>
      </c>
      <c r="Q55" s="413">
        <v>332.72</v>
      </c>
      <c r="R55" s="381">
        <v>12</v>
      </c>
    </row>
    <row r="56" spans="2:18" ht="17" x14ac:dyDescent="0.2">
      <c r="B56" s="379">
        <v>43</v>
      </c>
      <c r="C56" s="380" t="s">
        <v>1888</v>
      </c>
      <c r="D56" s="379">
        <v>26</v>
      </c>
      <c r="E56" s="409">
        <v>975.529</v>
      </c>
      <c r="F56" s="417">
        <v>12</v>
      </c>
      <c r="G56" s="380">
        <v>1</v>
      </c>
      <c r="H56" s="411" t="s">
        <v>763</v>
      </c>
      <c r="I56" s="413">
        <v>975.529</v>
      </c>
      <c r="J56" s="380">
        <v>26</v>
      </c>
      <c r="K56" s="413">
        <v>975.529</v>
      </c>
      <c r="L56" s="381">
        <v>26</v>
      </c>
      <c r="M56" s="380">
        <v>0</v>
      </c>
      <c r="N56" s="411" t="s">
        <v>23</v>
      </c>
      <c r="O56" s="413" t="s">
        <v>23</v>
      </c>
      <c r="P56" s="380" t="s">
        <v>23</v>
      </c>
      <c r="Q56" s="413" t="s">
        <v>23</v>
      </c>
      <c r="R56" s="381" t="s">
        <v>23</v>
      </c>
    </row>
    <row r="57" spans="2:18" ht="17" x14ac:dyDescent="0.2">
      <c r="B57" s="379">
        <v>44</v>
      </c>
      <c r="C57" s="380" t="s">
        <v>1889</v>
      </c>
      <c r="D57" s="379">
        <v>49</v>
      </c>
      <c r="E57" s="409">
        <v>1262.3219999999999</v>
      </c>
      <c r="F57" s="417">
        <v>14</v>
      </c>
      <c r="G57" s="380">
        <v>0</v>
      </c>
      <c r="H57" s="411" t="s">
        <v>23</v>
      </c>
      <c r="I57" s="413" t="s">
        <v>23</v>
      </c>
      <c r="J57" s="380" t="s">
        <v>23</v>
      </c>
      <c r="K57" s="413" t="s">
        <v>23</v>
      </c>
      <c r="L57" s="381" t="s">
        <v>23</v>
      </c>
      <c r="M57" s="380">
        <v>0</v>
      </c>
      <c r="N57" s="411" t="s">
        <v>23</v>
      </c>
      <c r="O57" s="413" t="s">
        <v>23</v>
      </c>
      <c r="P57" s="380" t="s">
        <v>23</v>
      </c>
      <c r="Q57" s="413" t="s">
        <v>23</v>
      </c>
      <c r="R57" s="381" t="s">
        <v>23</v>
      </c>
    </row>
    <row r="58" spans="2:18" ht="17" x14ac:dyDescent="0.2">
      <c r="B58" s="379">
        <v>45</v>
      </c>
      <c r="C58" s="380" t="s">
        <v>1890</v>
      </c>
      <c r="D58" s="379">
        <v>23</v>
      </c>
      <c r="E58" s="409">
        <v>915.32299999999998</v>
      </c>
      <c r="F58" s="417">
        <v>11</v>
      </c>
      <c r="G58" s="380">
        <v>0</v>
      </c>
      <c r="H58" s="411" t="s">
        <v>23</v>
      </c>
      <c r="I58" s="413" t="s">
        <v>23</v>
      </c>
      <c r="J58" s="380" t="s">
        <v>23</v>
      </c>
      <c r="K58" s="413" t="s">
        <v>23</v>
      </c>
      <c r="L58" s="381" t="s">
        <v>23</v>
      </c>
      <c r="M58" s="380">
        <v>0</v>
      </c>
      <c r="N58" s="411" t="s">
        <v>23</v>
      </c>
      <c r="O58" s="413" t="s">
        <v>23</v>
      </c>
      <c r="P58" s="380" t="s">
        <v>23</v>
      </c>
      <c r="Q58" s="413" t="s">
        <v>23</v>
      </c>
      <c r="R58" s="381" t="s">
        <v>23</v>
      </c>
    </row>
    <row r="59" spans="2:18" ht="17" x14ac:dyDescent="0.2">
      <c r="B59" s="379">
        <v>46</v>
      </c>
      <c r="C59" s="380" t="s">
        <v>1617</v>
      </c>
      <c r="D59" s="379">
        <v>26</v>
      </c>
      <c r="E59" s="409">
        <v>982.452</v>
      </c>
      <c r="F59" s="417">
        <v>10</v>
      </c>
      <c r="G59" s="380">
        <v>0</v>
      </c>
      <c r="H59" s="411" t="s">
        <v>23</v>
      </c>
      <c r="I59" s="413" t="s">
        <v>23</v>
      </c>
      <c r="J59" s="380" t="s">
        <v>23</v>
      </c>
      <c r="K59" s="413" t="s">
        <v>23</v>
      </c>
      <c r="L59" s="381" t="s">
        <v>23</v>
      </c>
      <c r="M59" s="380">
        <v>0</v>
      </c>
      <c r="N59" s="411" t="s">
        <v>23</v>
      </c>
      <c r="O59" s="413" t="s">
        <v>23</v>
      </c>
      <c r="P59" s="380" t="s">
        <v>23</v>
      </c>
      <c r="Q59" s="413" t="s">
        <v>23</v>
      </c>
      <c r="R59" s="381" t="s">
        <v>23</v>
      </c>
    </row>
    <row r="60" spans="2:18" ht="17" x14ac:dyDescent="0.2">
      <c r="B60" s="379">
        <v>47</v>
      </c>
      <c r="C60" s="380" t="s">
        <v>1891</v>
      </c>
      <c r="D60" s="379">
        <v>23</v>
      </c>
      <c r="E60" s="409">
        <v>997.94899999999996</v>
      </c>
      <c r="F60" s="417">
        <v>7</v>
      </c>
      <c r="G60" s="380">
        <v>0</v>
      </c>
      <c r="H60" s="411" t="s">
        <v>23</v>
      </c>
      <c r="I60" s="413" t="s">
        <v>23</v>
      </c>
      <c r="J60" s="380" t="s">
        <v>23</v>
      </c>
      <c r="K60" s="413" t="s">
        <v>23</v>
      </c>
      <c r="L60" s="381" t="s">
        <v>23</v>
      </c>
      <c r="M60" s="380">
        <v>0</v>
      </c>
      <c r="N60" s="411" t="s">
        <v>23</v>
      </c>
      <c r="O60" s="413" t="s">
        <v>23</v>
      </c>
      <c r="P60" s="380" t="s">
        <v>23</v>
      </c>
      <c r="Q60" s="413" t="s">
        <v>23</v>
      </c>
      <c r="R60" s="381" t="s">
        <v>23</v>
      </c>
    </row>
    <row r="61" spans="2:18" ht="17" x14ac:dyDescent="0.2">
      <c r="B61" s="379">
        <v>48</v>
      </c>
      <c r="C61" s="380" t="s">
        <v>1892</v>
      </c>
      <c r="D61" s="379">
        <v>57</v>
      </c>
      <c r="E61" s="409">
        <v>1339.671</v>
      </c>
      <c r="F61" s="417">
        <v>27</v>
      </c>
      <c r="G61" s="380">
        <v>1</v>
      </c>
      <c r="H61" s="411" t="s">
        <v>764</v>
      </c>
      <c r="I61" s="413">
        <v>10.949</v>
      </c>
      <c r="J61" s="380">
        <v>1</v>
      </c>
      <c r="K61" s="413">
        <v>10.949</v>
      </c>
      <c r="L61" s="381">
        <v>1</v>
      </c>
      <c r="M61" s="380">
        <v>1</v>
      </c>
      <c r="N61" s="411" t="s">
        <v>764</v>
      </c>
      <c r="O61" s="413">
        <v>10.949</v>
      </c>
      <c r="P61" s="380">
        <v>1</v>
      </c>
      <c r="Q61" s="413">
        <v>10.949</v>
      </c>
      <c r="R61" s="381">
        <v>1</v>
      </c>
    </row>
    <row r="62" spans="2:18" ht="17" x14ac:dyDescent="0.2">
      <c r="B62" s="379">
        <v>49</v>
      </c>
      <c r="C62" s="380" t="s">
        <v>1825</v>
      </c>
      <c r="D62" s="379">
        <v>25</v>
      </c>
      <c r="E62" s="409">
        <v>1936.482</v>
      </c>
      <c r="F62" s="417">
        <v>6</v>
      </c>
      <c r="G62" s="380">
        <v>0</v>
      </c>
      <c r="H62" s="411" t="s">
        <v>23</v>
      </c>
      <c r="I62" s="413" t="s">
        <v>23</v>
      </c>
      <c r="J62" s="380" t="s">
        <v>23</v>
      </c>
      <c r="K62" s="413" t="s">
        <v>23</v>
      </c>
      <c r="L62" s="381" t="s">
        <v>23</v>
      </c>
      <c r="M62" s="380">
        <v>0</v>
      </c>
      <c r="N62" s="411" t="s">
        <v>23</v>
      </c>
      <c r="O62" s="413" t="s">
        <v>23</v>
      </c>
      <c r="P62" s="380" t="s">
        <v>23</v>
      </c>
      <c r="Q62" s="413" t="s">
        <v>23</v>
      </c>
      <c r="R62" s="381" t="s">
        <v>23</v>
      </c>
    </row>
    <row r="63" spans="2:18" ht="17" x14ac:dyDescent="0.2">
      <c r="B63" s="379">
        <v>50</v>
      </c>
      <c r="C63" s="380" t="s">
        <v>1893</v>
      </c>
      <c r="D63" s="379">
        <v>27</v>
      </c>
      <c r="E63" s="409">
        <v>895.03800000000001</v>
      </c>
      <c r="F63" s="417">
        <v>7</v>
      </c>
      <c r="G63" s="380">
        <v>0</v>
      </c>
      <c r="H63" s="411" t="s">
        <v>23</v>
      </c>
      <c r="I63" s="413" t="s">
        <v>23</v>
      </c>
      <c r="J63" s="380" t="s">
        <v>23</v>
      </c>
      <c r="K63" s="413" t="s">
        <v>23</v>
      </c>
      <c r="L63" s="381" t="s">
        <v>23</v>
      </c>
      <c r="M63" s="380">
        <v>0</v>
      </c>
      <c r="N63" s="411" t="s">
        <v>23</v>
      </c>
      <c r="O63" s="413" t="s">
        <v>23</v>
      </c>
      <c r="P63" s="380" t="s">
        <v>23</v>
      </c>
      <c r="Q63" s="413" t="s">
        <v>23</v>
      </c>
      <c r="R63" s="381" t="s">
        <v>23</v>
      </c>
    </row>
    <row r="64" spans="2:18" ht="17" x14ac:dyDescent="0.2">
      <c r="B64" s="379">
        <v>51</v>
      </c>
      <c r="C64" s="380" t="s">
        <v>1894</v>
      </c>
      <c r="D64" s="379">
        <v>25</v>
      </c>
      <c r="E64" s="409">
        <v>976.34500000000003</v>
      </c>
      <c r="F64" s="417">
        <v>5</v>
      </c>
      <c r="G64" s="380">
        <v>0</v>
      </c>
      <c r="H64" s="411" t="s">
        <v>23</v>
      </c>
      <c r="I64" s="413" t="s">
        <v>23</v>
      </c>
      <c r="J64" s="380" t="s">
        <v>23</v>
      </c>
      <c r="K64" s="413" t="s">
        <v>23</v>
      </c>
      <c r="L64" s="381" t="s">
        <v>23</v>
      </c>
      <c r="M64" s="380">
        <v>0</v>
      </c>
      <c r="N64" s="411" t="s">
        <v>23</v>
      </c>
      <c r="O64" s="413" t="s">
        <v>23</v>
      </c>
      <c r="P64" s="380" t="s">
        <v>23</v>
      </c>
      <c r="Q64" s="413" t="s">
        <v>23</v>
      </c>
      <c r="R64" s="381" t="s">
        <v>23</v>
      </c>
    </row>
    <row r="65" spans="2:18" ht="17" x14ac:dyDescent="0.2">
      <c r="B65" s="379">
        <v>52</v>
      </c>
      <c r="C65" s="380" t="s">
        <v>1895</v>
      </c>
      <c r="D65" s="379">
        <v>11</v>
      </c>
      <c r="E65" s="409">
        <v>969.81399999999996</v>
      </c>
      <c r="F65" s="417">
        <v>0</v>
      </c>
      <c r="G65" s="380">
        <v>0</v>
      </c>
      <c r="H65" s="411" t="s">
        <v>23</v>
      </c>
      <c r="I65" s="413" t="s">
        <v>23</v>
      </c>
      <c r="J65" s="380" t="s">
        <v>23</v>
      </c>
      <c r="K65" s="413" t="s">
        <v>23</v>
      </c>
      <c r="L65" s="381" t="s">
        <v>23</v>
      </c>
      <c r="M65" s="380">
        <v>0</v>
      </c>
      <c r="N65" s="411" t="s">
        <v>23</v>
      </c>
      <c r="O65" s="413" t="s">
        <v>23</v>
      </c>
      <c r="P65" s="380" t="s">
        <v>23</v>
      </c>
      <c r="Q65" s="413" t="s">
        <v>23</v>
      </c>
      <c r="R65" s="381" t="s">
        <v>23</v>
      </c>
    </row>
    <row r="66" spans="2:18" ht="17" x14ac:dyDescent="0.2">
      <c r="B66" s="379">
        <v>53</v>
      </c>
      <c r="C66" s="380" t="s">
        <v>1622</v>
      </c>
      <c r="D66" s="379">
        <v>137</v>
      </c>
      <c r="E66" s="409">
        <v>4049.1550000000002</v>
      </c>
      <c r="F66" s="417">
        <v>66</v>
      </c>
      <c r="G66" s="380">
        <v>0</v>
      </c>
      <c r="H66" s="411" t="s">
        <v>23</v>
      </c>
      <c r="I66" s="413" t="s">
        <v>23</v>
      </c>
      <c r="J66" s="380" t="s">
        <v>23</v>
      </c>
      <c r="K66" s="413" t="s">
        <v>23</v>
      </c>
      <c r="L66" s="381" t="s">
        <v>23</v>
      </c>
      <c r="M66" s="380">
        <v>0</v>
      </c>
      <c r="N66" s="411" t="s">
        <v>23</v>
      </c>
      <c r="O66" s="413" t="s">
        <v>23</v>
      </c>
      <c r="P66" s="380" t="s">
        <v>23</v>
      </c>
      <c r="Q66" s="413" t="s">
        <v>23</v>
      </c>
      <c r="R66" s="381" t="s">
        <v>23</v>
      </c>
    </row>
    <row r="67" spans="2:18" ht="17" x14ac:dyDescent="0.2">
      <c r="B67" s="379">
        <v>54</v>
      </c>
      <c r="C67" s="380" t="s">
        <v>1896</v>
      </c>
      <c r="D67" s="379">
        <v>24</v>
      </c>
      <c r="E67" s="409">
        <v>1770.104</v>
      </c>
      <c r="F67" s="417">
        <v>11</v>
      </c>
      <c r="G67" s="380">
        <v>0</v>
      </c>
      <c r="H67" s="411" t="s">
        <v>23</v>
      </c>
      <c r="I67" s="413" t="s">
        <v>23</v>
      </c>
      <c r="J67" s="380" t="s">
        <v>23</v>
      </c>
      <c r="K67" s="413" t="s">
        <v>23</v>
      </c>
      <c r="L67" s="381" t="s">
        <v>23</v>
      </c>
      <c r="M67" s="380">
        <v>0</v>
      </c>
      <c r="N67" s="411" t="s">
        <v>23</v>
      </c>
      <c r="O67" s="413" t="s">
        <v>23</v>
      </c>
      <c r="P67" s="380" t="s">
        <v>23</v>
      </c>
      <c r="Q67" s="413" t="s">
        <v>23</v>
      </c>
      <c r="R67" s="381" t="s">
        <v>23</v>
      </c>
    </row>
    <row r="68" spans="2:18" ht="17" x14ac:dyDescent="0.2">
      <c r="B68" s="379">
        <v>55</v>
      </c>
      <c r="C68" s="380" t="s">
        <v>1897</v>
      </c>
      <c r="D68" s="379">
        <v>20</v>
      </c>
      <c r="E68" s="409">
        <v>936.38599999999997</v>
      </c>
      <c r="F68" s="417">
        <v>7</v>
      </c>
      <c r="G68" s="380">
        <v>1</v>
      </c>
      <c r="H68" s="411" t="s">
        <v>768</v>
      </c>
      <c r="I68" s="413">
        <v>1.9039999999999999</v>
      </c>
      <c r="J68" s="380">
        <v>1</v>
      </c>
      <c r="K68" s="413">
        <v>1.9039999999999999</v>
      </c>
      <c r="L68" s="381">
        <v>1</v>
      </c>
      <c r="M68" s="380">
        <v>1</v>
      </c>
      <c r="N68" s="411" t="s">
        <v>768</v>
      </c>
      <c r="O68" s="413">
        <v>1.9039999999999999</v>
      </c>
      <c r="P68" s="380">
        <v>1</v>
      </c>
      <c r="Q68" s="413">
        <v>1.9039999999999999</v>
      </c>
      <c r="R68" s="381">
        <v>1</v>
      </c>
    </row>
    <row r="69" spans="2:18" ht="17" x14ac:dyDescent="0.2">
      <c r="B69" s="379">
        <v>56</v>
      </c>
      <c r="C69" s="380" t="s">
        <v>1898</v>
      </c>
      <c r="D69" s="379">
        <v>33</v>
      </c>
      <c r="E69" s="409">
        <v>958.09100000000001</v>
      </c>
      <c r="F69" s="417">
        <v>12</v>
      </c>
      <c r="G69" s="380">
        <v>0</v>
      </c>
      <c r="H69" s="411" t="s">
        <v>23</v>
      </c>
      <c r="I69" s="413" t="s">
        <v>23</v>
      </c>
      <c r="J69" s="380" t="s">
        <v>23</v>
      </c>
      <c r="K69" s="413" t="s">
        <v>23</v>
      </c>
      <c r="L69" s="381" t="s">
        <v>23</v>
      </c>
      <c r="M69" s="380">
        <v>0</v>
      </c>
      <c r="N69" s="411" t="s">
        <v>23</v>
      </c>
      <c r="O69" s="413" t="s">
        <v>23</v>
      </c>
      <c r="P69" s="380" t="s">
        <v>23</v>
      </c>
      <c r="Q69" s="413" t="s">
        <v>23</v>
      </c>
      <c r="R69" s="381" t="s">
        <v>23</v>
      </c>
    </row>
    <row r="70" spans="2:18" ht="17" x14ac:dyDescent="0.2">
      <c r="B70" s="379">
        <v>57</v>
      </c>
      <c r="C70" s="380" t="s">
        <v>1899</v>
      </c>
      <c r="D70" s="379">
        <v>20</v>
      </c>
      <c r="E70" s="409">
        <v>993.54399999999998</v>
      </c>
      <c r="F70" s="417">
        <v>7</v>
      </c>
      <c r="G70" s="380">
        <v>0</v>
      </c>
      <c r="H70" s="411" t="s">
        <v>23</v>
      </c>
      <c r="I70" s="413" t="s">
        <v>23</v>
      </c>
      <c r="J70" s="380" t="s">
        <v>23</v>
      </c>
      <c r="K70" s="413" t="s">
        <v>23</v>
      </c>
      <c r="L70" s="381" t="s">
        <v>23</v>
      </c>
      <c r="M70" s="380">
        <v>0</v>
      </c>
      <c r="N70" s="411" t="s">
        <v>23</v>
      </c>
      <c r="O70" s="413" t="s">
        <v>23</v>
      </c>
      <c r="P70" s="380" t="s">
        <v>23</v>
      </c>
      <c r="Q70" s="413" t="s">
        <v>23</v>
      </c>
      <c r="R70" s="381" t="s">
        <v>23</v>
      </c>
    </row>
    <row r="71" spans="2:18" ht="17" x14ac:dyDescent="0.2">
      <c r="B71" s="379">
        <v>58</v>
      </c>
      <c r="C71" s="380" t="s">
        <v>1900</v>
      </c>
      <c r="D71" s="379">
        <v>92</v>
      </c>
      <c r="E71" s="409">
        <v>7210.6909999999998</v>
      </c>
      <c r="F71" s="417">
        <v>28</v>
      </c>
      <c r="G71" s="380">
        <v>0</v>
      </c>
      <c r="H71" s="411" t="s">
        <v>23</v>
      </c>
      <c r="I71" s="413" t="s">
        <v>23</v>
      </c>
      <c r="J71" s="380" t="s">
        <v>23</v>
      </c>
      <c r="K71" s="413" t="s">
        <v>23</v>
      </c>
      <c r="L71" s="381" t="s">
        <v>23</v>
      </c>
      <c r="M71" s="380">
        <v>0</v>
      </c>
      <c r="N71" s="411" t="s">
        <v>23</v>
      </c>
      <c r="O71" s="413" t="s">
        <v>23</v>
      </c>
      <c r="P71" s="380" t="s">
        <v>23</v>
      </c>
      <c r="Q71" s="413" t="s">
        <v>23</v>
      </c>
      <c r="R71" s="381" t="s">
        <v>23</v>
      </c>
    </row>
    <row r="72" spans="2:18" ht="17" x14ac:dyDescent="0.2">
      <c r="B72" s="379">
        <v>59</v>
      </c>
      <c r="C72" s="380" t="s">
        <v>1901</v>
      </c>
      <c r="D72" s="379">
        <v>92</v>
      </c>
      <c r="E72" s="409">
        <v>2303.8939999999998</v>
      </c>
      <c r="F72" s="417">
        <v>29</v>
      </c>
      <c r="G72" s="380">
        <v>4</v>
      </c>
      <c r="H72" s="411" t="s">
        <v>897</v>
      </c>
      <c r="I72" s="413">
        <v>53.545999999999999</v>
      </c>
      <c r="J72" s="380">
        <v>6</v>
      </c>
      <c r="K72" s="413">
        <v>159.477</v>
      </c>
      <c r="L72" s="381">
        <v>22</v>
      </c>
      <c r="M72" s="380">
        <v>1</v>
      </c>
      <c r="N72" s="411" t="s">
        <v>769</v>
      </c>
      <c r="O72" s="413">
        <v>85.31</v>
      </c>
      <c r="P72" s="380">
        <v>13</v>
      </c>
      <c r="Q72" s="413">
        <v>85.31</v>
      </c>
      <c r="R72" s="381">
        <v>13</v>
      </c>
    </row>
    <row r="73" spans="2:18" ht="17" x14ac:dyDescent="0.2">
      <c r="B73" s="379">
        <v>60</v>
      </c>
      <c r="C73" s="380" t="s">
        <v>1902</v>
      </c>
      <c r="D73" s="379">
        <v>33</v>
      </c>
      <c r="E73" s="409">
        <v>982.21</v>
      </c>
      <c r="F73" s="417">
        <v>17</v>
      </c>
      <c r="G73" s="380">
        <v>0</v>
      </c>
      <c r="H73" s="411" t="s">
        <v>23</v>
      </c>
      <c r="I73" s="413" t="s">
        <v>23</v>
      </c>
      <c r="J73" s="380" t="s">
        <v>23</v>
      </c>
      <c r="K73" s="413" t="s">
        <v>23</v>
      </c>
      <c r="L73" s="381" t="s">
        <v>23</v>
      </c>
      <c r="M73" s="380">
        <v>0</v>
      </c>
      <c r="N73" s="411" t="s">
        <v>23</v>
      </c>
      <c r="O73" s="413" t="s">
        <v>23</v>
      </c>
      <c r="P73" s="380" t="s">
        <v>23</v>
      </c>
      <c r="Q73" s="413" t="s">
        <v>23</v>
      </c>
      <c r="R73" s="381" t="s">
        <v>23</v>
      </c>
    </row>
    <row r="74" spans="2:18" ht="17" x14ac:dyDescent="0.2">
      <c r="B74" s="379">
        <v>61</v>
      </c>
      <c r="C74" s="380" t="s">
        <v>1903</v>
      </c>
      <c r="D74" s="379">
        <v>99</v>
      </c>
      <c r="E74" s="409">
        <v>4152.6109999999999</v>
      </c>
      <c r="F74" s="417">
        <v>36</v>
      </c>
      <c r="G74" s="380">
        <v>0</v>
      </c>
      <c r="H74" s="411" t="s">
        <v>23</v>
      </c>
      <c r="I74" s="413" t="s">
        <v>23</v>
      </c>
      <c r="J74" s="380" t="s">
        <v>23</v>
      </c>
      <c r="K74" s="413" t="s">
        <v>23</v>
      </c>
      <c r="L74" s="381" t="s">
        <v>23</v>
      </c>
      <c r="M74" s="380">
        <v>0</v>
      </c>
      <c r="N74" s="411" t="s">
        <v>23</v>
      </c>
      <c r="O74" s="413" t="s">
        <v>23</v>
      </c>
      <c r="P74" s="380" t="s">
        <v>23</v>
      </c>
      <c r="Q74" s="413" t="s">
        <v>23</v>
      </c>
      <c r="R74" s="381" t="s">
        <v>23</v>
      </c>
    </row>
    <row r="75" spans="2:18" ht="17" x14ac:dyDescent="0.2">
      <c r="B75" s="379">
        <v>62</v>
      </c>
      <c r="C75" s="380" t="s">
        <v>1904</v>
      </c>
      <c r="D75" s="379">
        <v>31</v>
      </c>
      <c r="E75" s="409">
        <v>1516.2819999999999</v>
      </c>
      <c r="F75" s="417">
        <v>11</v>
      </c>
      <c r="G75" s="380">
        <v>0</v>
      </c>
      <c r="H75" s="411" t="s">
        <v>23</v>
      </c>
      <c r="I75" s="413" t="s">
        <v>23</v>
      </c>
      <c r="J75" s="380" t="s">
        <v>23</v>
      </c>
      <c r="K75" s="413" t="s">
        <v>23</v>
      </c>
      <c r="L75" s="381" t="s">
        <v>23</v>
      </c>
      <c r="M75" s="380">
        <v>0</v>
      </c>
      <c r="N75" s="411" t="s">
        <v>23</v>
      </c>
      <c r="O75" s="413" t="s">
        <v>23</v>
      </c>
      <c r="P75" s="380" t="s">
        <v>23</v>
      </c>
      <c r="Q75" s="413" t="s">
        <v>23</v>
      </c>
      <c r="R75" s="381" t="s">
        <v>23</v>
      </c>
    </row>
    <row r="76" spans="2:18" ht="17" x14ac:dyDescent="0.2">
      <c r="B76" s="379">
        <v>63</v>
      </c>
      <c r="C76" s="380" t="s">
        <v>1905</v>
      </c>
      <c r="D76" s="379">
        <v>145</v>
      </c>
      <c r="E76" s="409">
        <v>5995.6779999999999</v>
      </c>
      <c r="F76" s="417">
        <v>51</v>
      </c>
      <c r="G76" s="380">
        <v>3</v>
      </c>
      <c r="H76" s="411" t="s">
        <v>846</v>
      </c>
      <c r="I76" s="413">
        <v>103.684</v>
      </c>
      <c r="J76" s="380">
        <v>6</v>
      </c>
      <c r="K76" s="413">
        <v>142.09299999999999</v>
      </c>
      <c r="L76" s="381">
        <v>9</v>
      </c>
      <c r="M76" s="380">
        <v>3</v>
      </c>
      <c r="N76" s="411" t="s">
        <v>846</v>
      </c>
      <c r="O76" s="413">
        <v>103.684</v>
      </c>
      <c r="P76" s="380">
        <v>6</v>
      </c>
      <c r="Q76" s="413">
        <v>142.09299999999999</v>
      </c>
      <c r="R76" s="381">
        <v>9</v>
      </c>
    </row>
    <row r="77" spans="2:18" ht="17" x14ac:dyDescent="0.2">
      <c r="B77" s="379">
        <v>64</v>
      </c>
      <c r="C77" s="380" t="s">
        <v>1906</v>
      </c>
      <c r="D77" s="379">
        <v>16</v>
      </c>
      <c r="E77" s="409">
        <v>911.17700000000002</v>
      </c>
      <c r="F77" s="417">
        <v>3</v>
      </c>
      <c r="G77" s="380">
        <v>0</v>
      </c>
      <c r="H77" s="411" t="s">
        <v>23</v>
      </c>
      <c r="I77" s="413" t="s">
        <v>23</v>
      </c>
      <c r="J77" s="380" t="s">
        <v>23</v>
      </c>
      <c r="K77" s="413" t="s">
        <v>23</v>
      </c>
      <c r="L77" s="381" t="s">
        <v>23</v>
      </c>
      <c r="M77" s="380">
        <v>0</v>
      </c>
      <c r="N77" s="411" t="s">
        <v>23</v>
      </c>
      <c r="O77" s="413" t="s">
        <v>23</v>
      </c>
      <c r="P77" s="380" t="s">
        <v>23</v>
      </c>
      <c r="Q77" s="413" t="s">
        <v>23</v>
      </c>
      <c r="R77" s="381" t="s">
        <v>23</v>
      </c>
    </row>
    <row r="78" spans="2:18" ht="17" x14ac:dyDescent="0.2">
      <c r="B78" s="379">
        <v>65</v>
      </c>
      <c r="C78" s="380" t="s">
        <v>1907</v>
      </c>
      <c r="D78" s="379">
        <v>6</v>
      </c>
      <c r="E78" s="409">
        <v>189.12799999999999</v>
      </c>
      <c r="F78" s="417">
        <v>1</v>
      </c>
      <c r="G78" s="380">
        <v>0</v>
      </c>
      <c r="H78" s="411" t="s">
        <v>23</v>
      </c>
      <c r="I78" s="413" t="s">
        <v>23</v>
      </c>
      <c r="J78" s="380" t="s">
        <v>23</v>
      </c>
      <c r="K78" s="413" t="s">
        <v>23</v>
      </c>
      <c r="L78" s="381" t="s">
        <v>23</v>
      </c>
      <c r="M78" s="380">
        <v>0</v>
      </c>
      <c r="N78" s="411" t="s">
        <v>23</v>
      </c>
      <c r="O78" s="413" t="s">
        <v>23</v>
      </c>
      <c r="P78" s="380" t="s">
        <v>23</v>
      </c>
      <c r="Q78" s="413" t="s">
        <v>23</v>
      </c>
      <c r="R78" s="381" t="s">
        <v>23</v>
      </c>
    </row>
    <row r="79" spans="2:18" ht="51" x14ac:dyDescent="0.2">
      <c r="B79" s="379">
        <v>66</v>
      </c>
      <c r="C79" s="380" t="s">
        <v>1908</v>
      </c>
      <c r="D79" s="379">
        <v>298</v>
      </c>
      <c r="E79" s="409">
        <v>3925.346</v>
      </c>
      <c r="F79" s="417">
        <v>111</v>
      </c>
      <c r="G79" s="380">
        <v>14</v>
      </c>
      <c r="H79" s="411" t="s">
        <v>847</v>
      </c>
      <c r="I79" s="413">
        <v>7.99</v>
      </c>
      <c r="J79" s="380">
        <v>1</v>
      </c>
      <c r="K79" s="413">
        <v>1579.029</v>
      </c>
      <c r="L79" s="381">
        <v>190</v>
      </c>
      <c r="M79" s="380">
        <v>4</v>
      </c>
      <c r="N79" s="411" t="s">
        <v>2406</v>
      </c>
      <c r="O79" s="413">
        <v>7.99</v>
      </c>
      <c r="P79" s="380">
        <v>1</v>
      </c>
      <c r="Q79" s="413">
        <v>1579.029</v>
      </c>
      <c r="R79" s="381">
        <v>190</v>
      </c>
    </row>
    <row r="80" spans="2:18" ht="17" x14ac:dyDescent="0.2">
      <c r="B80" s="379">
        <v>67</v>
      </c>
      <c r="C80" s="380" t="s">
        <v>1909</v>
      </c>
      <c r="D80" s="379">
        <v>167</v>
      </c>
      <c r="E80" s="409">
        <v>5809.0469999999996</v>
      </c>
      <c r="F80" s="417">
        <v>58</v>
      </c>
      <c r="G80" s="380">
        <v>0</v>
      </c>
      <c r="H80" s="411" t="s">
        <v>23</v>
      </c>
      <c r="I80" s="413" t="s">
        <v>23</v>
      </c>
      <c r="J80" s="380" t="s">
        <v>23</v>
      </c>
      <c r="K80" s="413" t="s">
        <v>23</v>
      </c>
      <c r="L80" s="381" t="s">
        <v>23</v>
      </c>
      <c r="M80" s="380">
        <v>0</v>
      </c>
      <c r="N80" s="411" t="s">
        <v>23</v>
      </c>
      <c r="O80" s="413" t="s">
        <v>23</v>
      </c>
      <c r="P80" s="380" t="s">
        <v>23</v>
      </c>
      <c r="Q80" s="413" t="s">
        <v>23</v>
      </c>
      <c r="R80" s="381" t="s">
        <v>23</v>
      </c>
    </row>
    <row r="81" spans="2:18" ht="17" x14ac:dyDescent="0.2">
      <c r="B81" s="379">
        <v>68</v>
      </c>
      <c r="C81" s="380" t="s">
        <v>1910</v>
      </c>
      <c r="D81" s="379">
        <v>14</v>
      </c>
      <c r="E81" s="409">
        <v>985.178</v>
      </c>
      <c r="F81" s="417">
        <v>3</v>
      </c>
      <c r="G81" s="380">
        <v>1</v>
      </c>
      <c r="H81" s="411" t="s">
        <v>777</v>
      </c>
      <c r="I81" s="413">
        <v>18.582999999999998</v>
      </c>
      <c r="J81" s="380">
        <v>1</v>
      </c>
      <c r="K81" s="413">
        <v>18.582999999999998</v>
      </c>
      <c r="L81" s="381">
        <v>1</v>
      </c>
      <c r="M81" s="380">
        <v>0</v>
      </c>
      <c r="N81" s="411" t="s">
        <v>23</v>
      </c>
      <c r="O81" s="413" t="s">
        <v>23</v>
      </c>
      <c r="P81" s="380" t="s">
        <v>23</v>
      </c>
      <c r="Q81" s="413" t="s">
        <v>23</v>
      </c>
      <c r="R81" s="381" t="s">
        <v>23</v>
      </c>
    </row>
    <row r="82" spans="2:18" ht="17" x14ac:dyDescent="0.2">
      <c r="B82" s="379">
        <v>69</v>
      </c>
      <c r="C82" s="380" t="s">
        <v>1625</v>
      </c>
      <c r="D82" s="379">
        <v>102</v>
      </c>
      <c r="E82" s="409">
        <v>2636.5509999999999</v>
      </c>
      <c r="F82" s="417">
        <v>33</v>
      </c>
      <c r="G82" s="380">
        <v>1</v>
      </c>
      <c r="H82" s="411" t="s">
        <v>778</v>
      </c>
      <c r="I82" s="413">
        <v>64.900000000000006</v>
      </c>
      <c r="J82" s="380">
        <v>4</v>
      </c>
      <c r="K82" s="413">
        <v>64.900000000000006</v>
      </c>
      <c r="L82" s="381">
        <v>4</v>
      </c>
      <c r="M82" s="380">
        <v>1</v>
      </c>
      <c r="N82" s="411" t="s">
        <v>778</v>
      </c>
      <c r="O82" s="413">
        <v>64.900000000000006</v>
      </c>
      <c r="P82" s="380">
        <v>4</v>
      </c>
      <c r="Q82" s="413">
        <v>64.900000000000006</v>
      </c>
      <c r="R82" s="381">
        <v>4</v>
      </c>
    </row>
    <row r="83" spans="2:18" ht="17" x14ac:dyDescent="0.2">
      <c r="B83" s="379">
        <v>70</v>
      </c>
      <c r="C83" s="380" t="s">
        <v>1911</v>
      </c>
      <c r="D83" s="379">
        <v>17</v>
      </c>
      <c r="E83" s="409">
        <v>855.67399999999998</v>
      </c>
      <c r="F83" s="417">
        <v>4</v>
      </c>
      <c r="G83" s="380">
        <v>0</v>
      </c>
      <c r="H83" s="411" t="s">
        <v>23</v>
      </c>
      <c r="I83" s="413" t="s">
        <v>23</v>
      </c>
      <c r="J83" s="380" t="s">
        <v>23</v>
      </c>
      <c r="K83" s="413" t="s">
        <v>23</v>
      </c>
      <c r="L83" s="381" t="s">
        <v>23</v>
      </c>
      <c r="M83" s="380">
        <v>0</v>
      </c>
      <c r="N83" s="411" t="s">
        <v>23</v>
      </c>
      <c r="O83" s="413" t="s">
        <v>23</v>
      </c>
      <c r="P83" s="380" t="s">
        <v>23</v>
      </c>
      <c r="Q83" s="413" t="s">
        <v>23</v>
      </c>
      <c r="R83" s="381" t="s">
        <v>23</v>
      </c>
    </row>
    <row r="84" spans="2:18" ht="17" x14ac:dyDescent="0.2">
      <c r="B84" s="379">
        <v>71</v>
      </c>
      <c r="C84" s="380" t="s">
        <v>1912</v>
      </c>
      <c r="D84" s="379">
        <v>35</v>
      </c>
      <c r="E84" s="409">
        <v>954.73400000000004</v>
      </c>
      <c r="F84" s="417">
        <v>10</v>
      </c>
      <c r="G84" s="380">
        <v>0</v>
      </c>
      <c r="H84" s="411" t="s">
        <v>23</v>
      </c>
      <c r="I84" s="413" t="s">
        <v>23</v>
      </c>
      <c r="J84" s="380" t="s">
        <v>23</v>
      </c>
      <c r="K84" s="413" t="s">
        <v>23</v>
      </c>
      <c r="L84" s="381" t="s">
        <v>23</v>
      </c>
      <c r="M84" s="380">
        <v>0</v>
      </c>
      <c r="N84" s="411" t="s">
        <v>23</v>
      </c>
      <c r="O84" s="413" t="s">
        <v>23</v>
      </c>
      <c r="P84" s="380" t="s">
        <v>23</v>
      </c>
      <c r="Q84" s="413" t="s">
        <v>23</v>
      </c>
      <c r="R84" s="381" t="s">
        <v>23</v>
      </c>
    </row>
    <row r="85" spans="2:18" ht="17" x14ac:dyDescent="0.2">
      <c r="B85" s="379">
        <v>72</v>
      </c>
      <c r="C85" s="380" t="s">
        <v>1828</v>
      </c>
      <c r="D85" s="379">
        <v>77</v>
      </c>
      <c r="E85" s="409">
        <v>991.36300000000006</v>
      </c>
      <c r="F85" s="417">
        <v>37</v>
      </c>
      <c r="G85" s="380">
        <v>0</v>
      </c>
      <c r="H85" s="411" t="s">
        <v>23</v>
      </c>
      <c r="I85" s="413" t="s">
        <v>23</v>
      </c>
      <c r="J85" s="380" t="s">
        <v>23</v>
      </c>
      <c r="K85" s="413" t="s">
        <v>23</v>
      </c>
      <c r="L85" s="381" t="s">
        <v>23</v>
      </c>
      <c r="M85" s="380">
        <v>0</v>
      </c>
      <c r="N85" s="411" t="s">
        <v>23</v>
      </c>
      <c r="O85" s="413" t="s">
        <v>23</v>
      </c>
      <c r="P85" s="380" t="s">
        <v>23</v>
      </c>
      <c r="Q85" s="413" t="s">
        <v>23</v>
      </c>
      <c r="R85" s="381" t="s">
        <v>23</v>
      </c>
    </row>
    <row r="86" spans="2:18" ht="17" x14ac:dyDescent="0.2">
      <c r="B86" s="379">
        <v>73</v>
      </c>
      <c r="C86" s="380" t="s">
        <v>1630</v>
      </c>
      <c r="D86" s="379">
        <v>88</v>
      </c>
      <c r="E86" s="409">
        <v>1135.8989999999999</v>
      </c>
      <c r="F86" s="417">
        <v>47</v>
      </c>
      <c r="G86" s="380">
        <v>2</v>
      </c>
      <c r="H86" s="411" t="s">
        <v>848</v>
      </c>
      <c r="I86" s="413">
        <v>0.80700000000000005</v>
      </c>
      <c r="J86" s="380">
        <v>1</v>
      </c>
      <c r="K86" s="413">
        <v>31.975000000000001</v>
      </c>
      <c r="L86" s="381">
        <v>7</v>
      </c>
      <c r="M86" s="380">
        <v>2</v>
      </c>
      <c r="N86" s="411" t="s">
        <v>848</v>
      </c>
      <c r="O86" s="413">
        <v>0.80700000000000005</v>
      </c>
      <c r="P86" s="380">
        <v>1</v>
      </c>
      <c r="Q86" s="413">
        <v>31.975000000000001</v>
      </c>
      <c r="R86" s="381">
        <v>7</v>
      </c>
    </row>
    <row r="87" spans="2:18" ht="17" x14ac:dyDescent="0.2">
      <c r="B87" s="379">
        <v>74</v>
      </c>
      <c r="C87" s="380" t="s">
        <v>1637</v>
      </c>
      <c r="D87" s="379">
        <v>294</v>
      </c>
      <c r="E87" s="409">
        <v>4087.22</v>
      </c>
      <c r="F87" s="417">
        <v>94</v>
      </c>
      <c r="G87" s="380">
        <v>7</v>
      </c>
      <c r="H87" s="411" t="s">
        <v>849</v>
      </c>
      <c r="I87" s="413">
        <v>6.8890000000000002</v>
      </c>
      <c r="J87" s="380">
        <v>1</v>
      </c>
      <c r="K87" s="413">
        <v>348.49700000000001</v>
      </c>
      <c r="L87" s="381">
        <v>44</v>
      </c>
      <c r="M87" s="380">
        <v>3</v>
      </c>
      <c r="N87" s="411" t="s">
        <v>2399</v>
      </c>
      <c r="O87" s="413">
        <v>29.785</v>
      </c>
      <c r="P87" s="380">
        <v>5</v>
      </c>
      <c r="Q87" s="413">
        <v>348.49700000000001</v>
      </c>
      <c r="R87" s="381">
        <v>44</v>
      </c>
    </row>
    <row r="88" spans="2:18" ht="17" x14ac:dyDescent="0.2">
      <c r="B88" s="379">
        <v>75</v>
      </c>
      <c r="C88" s="380" t="s">
        <v>1831</v>
      </c>
      <c r="D88" s="379">
        <v>25</v>
      </c>
      <c r="E88" s="409">
        <v>977.25800000000004</v>
      </c>
      <c r="F88" s="417">
        <v>9</v>
      </c>
      <c r="G88" s="380">
        <v>0</v>
      </c>
      <c r="H88" s="411" t="s">
        <v>23</v>
      </c>
      <c r="I88" s="413" t="s">
        <v>23</v>
      </c>
      <c r="J88" s="380" t="s">
        <v>23</v>
      </c>
      <c r="K88" s="413" t="s">
        <v>23</v>
      </c>
      <c r="L88" s="381" t="s">
        <v>23</v>
      </c>
      <c r="M88" s="380">
        <v>0</v>
      </c>
      <c r="N88" s="411" t="s">
        <v>23</v>
      </c>
      <c r="O88" s="413" t="s">
        <v>23</v>
      </c>
      <c r="P88" s="380" t="s">
        <v>23</v>
      </c>
      <c r="Q88" s="413" t="s">
        <v>23</v>
      </c>
      <c r="R88" s="381" t="s">
        <v>23</v>
      </c>
    </row>
    <row r="89" spans="2:18" ht="17" x14ac:dyDescent="0.2">
      <c r="B89" s="379">
        <v>76</v>
      </c>
      <c r="C89" s="380" t="s">
        <v>1643</v>
      </c>
      <c r="D89" s="379">
        <v>82</v>
      </c>
      <c r="E89" s="409">
        <v>2856.9380000000001</v>
      </c>
      <c r="F89" s="417">
        <v>39</v>
      </c>
      <c r="G89" s="380">
        <v>4</v>
      </c>
      <c r="H89" s="411" t="s">
        <v>850</v>
      </c>
      <c r="I89" s="413">
        <v>77.709000000000003</v>
      </c>
      <c r="J89" s="380">
        <v>3</v>
      </c>
      <c r="K89" s="413">
        <v>977.95799999999997</v>
      </c>
      <c r="L89" s="381">
        <v>40</v>
      </c>
      <c r="M89" s="380">
        <v>0</v>
      </c>
      <c r="N89" s="411" t="s">
        <v>23</v>
      </c>
      <c r="O89" s="413" t="s">
        <v>23</v>
      </c>
      <c r="P89" s="380" t="s">
        <v>23</v>
      </c>
      <c r="Q89" s="413" t="s">
        <v>23</v>
      </c>
      <c r="R89" s="381" t="s">
        <v>23</v>
      </c>
    </row>
    <row r="90" spans="2:18" ht="17" x14ac:dyDescent="0.2">
      <c r="B90" s="379">
        <v>77</v>
      </c>
      <c r="C90" s="380" t="s">
        <v>1913</v>
      </c>
      <c r="D90" s="379">
        <v>95</v>
      </c>
      <c r="E90" s="409">
        <v>2606.1559999999999</v>
      </c>
      <c r="F90" s="417">
        <v>46</v>
      </c>
      <c r="G90" s="380">
        <v>1</v>
      </c>
      <c r="H90" s="411" t="s">
        <v>785</v>
      </c>
      <c r="I90" s="413">
        <v>2.4969999999999999</v>
      </c>
      <c r="J90" s="380">
        <v>1</v>
      </c>
      <c r="K90" s="413">
        <v>2.4969999999999999</v>
      </c>
      <c r="L90" s="381">
        <v>1</v>
      </c>
      <c r="M90" s="380">
        <v>0</v>
      </c>
      <c r="N90" s="411" t="s">
        <v>23</v>
      </c>
      <c r="O90" s="413" t="s">
        <v>23</v>
      </c>
      <c r="P90" s="380" t="s">
        <v>23</v>
      </c>
      <c r="Q90" s="413" t="s">
        <v>23</v>
      </c>
      <c r="R90" s="381" t="s">
        <v>23</v>
      </c>
    </row>
    <row r="91" spans="2:18" ht="17" x14ac:dyDescent="0.2">
      <c r="B91" s="379">
        <v>78</v>
      </c>
      <c r="C91" s="380" t="s">
        <v>1914</v>
      </c>
      <c r="D91" s="379">
        <v>39</v>
      </c>
      <c r="E91" s="409">
        <v>961.42700000000002</v>
      </c>
      <c r="F91" s="417">
        <v>11</v>
      </c>
      <c r="G91" s="380">
        <v>1</v>
      </c>
      <c r="H91" s="411" t="s">
        <v>786</v>
      </c>
      <c r="I91" s="413">
        <v>61.421999999999997</v>
      </c>
      <c r="J91" s="380">
        <v>2</v>
      </c>
      <c r="K91" s="413">
        <v>61.421999999999997</v>
      </c>
      <c r="L91" s="381">
        <v>2</v>
      </c>
      <c r="M91" s="380">
        <v>0</v>
      </c>
      <c r="N91" s="411" t="s">
        <v>23</v>
      </c>
      <c r="O91" s="413" t="s">
        <v>23</v>
      </c>
      <c r="P91" s="380" t="s">
        <v>23</v>
      </c>
      <c r="Q91" s="413" t="s">
        <v>23</v>
      </c>
      <c r="R91" s="381" t="s">
        <v>23</v>
      </c>
    </row>
    <row r="92" spans="2:18" ht="17" x14ac:dyDescent="0.2">
      <c r="B92" s="379">
        <v>79</v>
      </c>
      <c r="C92" s="380" t="s">
        <v>1915</v>
      </c>
      <c r="D92" s="379">
        <v>118</v>
      </c>
      <c r="E92" s="409">
        <v>10381.939</v>
      </c>
      <c r="F92" s="417">
        <v>35</v>
      </c>
      <c r="G92" s="380">
        <v>0</v>
      </c>
      <c r="H92" s="411" t="s">
        <v>23</v>
      </c>
      <c r="I92" s="413" t="s">
        <v>23</v>
      </c>
      <c r="J92" s="380" t="s">
        <v>23</v>
      </c>
      <c r="K92" s="413" t="s">
        <v>23</v>
      </c>
      <c r="L92" s="381" t="s">
        <v>23</v>
      </c>
      <c r="M92" s="380">
        <v>0</v>
      </c>
      <c r="N92" s="411" t="s">
        <v>23</v>
      </c>
      <c r="O92" s="413" t="s">
        <v>23</v>
      </c>
      <c r="P92" s="380" t="s">
        <v>23</v>
      </c>
      <c r="Q92" s="413" t="s">
        <v>23</v>
      </c>
      <c r="R92" s="381" t="s">
        <v>23</v>
      </c>
    </row>
    <row r="93" spans="2:18" ht="17" x14ac:dyDescent="0.2">
      <c r="B93" s="379">
        <v>80</v>
      </c>
      <c r="C93" s="380" t="s">
        <v>1916</v>
      </c>
      <c r="D93" s="379">
        <v>31</v>
      </c>
      <c r="E93" s="409">
        <v>964.77</v>
      </c>
      <c r="F93" s="417">
        <v>5</v>
      </c>
      <c r="G93" s="380">
        <v>0</v>
      </c>
      <c r="H93" s="411" t="s">
        <v>23</v>
      </c>
      <c r="I93" s="413" t="s">
        <v>23</v>
      </c>
      <c r="J93" s="380" t="s">
        <v>23</v>
      </c>
      <c r="K93" s="413" t="s">
        <v>23</v>
      </c>
      <c r="L93" s="381" t="s">
        <v>23</v>
      </c>
      <c r="M93" s="380">
        <v>0</v>
      </c>
      <c r="N93" s="411" t="s">
        <v>23</v>
      </c>
      <c r="O93" s="413" t="s">
        <v>23</v>
      </c>
      <c r="P93" s="380" t="s">
        <v>23</v>
      </c>
      <c r="Q93" s="413" t="s">
        <v>23</v>
      </c>
      <c r="R93" s="381" t="s">
        <v>23</v>
      </c>
    </row>
    <row r="94" spans="2:18" ht="17" x14ac:dyDescent="0.2">
      <c r="B94" s="379">
        <v>81</v>
      </c>
      <c r="C94" s="380" t="s">
        <v>1917</v>
      </c>
      <c r="D94" s="379">
        <v>33</v>
      </c>
      <c r="E94" s="409">
        <v>1007.704</v>
      </c>
      <c r="F94" s="417">
        <v>9</v>
      </c>
      <c r="G94" s="380">
        <v>2</v>
      </c>
      <c r="H94" s="411" t="s">
        <v>851</v>
      </c>
      <c r="I94" s="413">
        <v>241.47</v>
      </c>
      <c r="J94" s="380">
        <v>8</v>
      </c>
      <c r="K94" s="413">
        <v>380.46800000000002</v>
      </c>
      <c r="L94" s="381">
        <v>10</v>
      </c>
      <c r="M94" s="380">
        <v>0</v>
      </c>
      <c r="N94" s="411" t="s">
        <v>23</v>
      </c>
      <c r="O94" s="413" t="s">
        <v>23</v>
      </c>
      <c r="P94" s="380" t="s">
        <v>23</v>
      </c>
      <c r="Q94" s="413" t="s">
        <v>23</v>
      </c>
      <c r="R94" s="381" t="s">
        <v>23</v>
      </c>
    </row>
    <row r="95" spans="2:18" ht="17" x14ac:dyDescent="0.2">
      <c r="B95" s="379">
        <v>82</v>
      </c>
      <c r="C95" s="380" t="s">
        <v>1918</v>
      </c>
      <c r="D95" s="379">
        <v>14</v>
      </c>
      <c r="E95" s="409">
        <v>975.62400000000002</v>
      </c>
      <c r="F95" s="417">
        <v>0</v>
      </c>
      <c r="G95" s="380">
        <v>0</v>
      </c>
      <c r="H95" s="411" t="s">
        <v>23</v>
      </c>
      <c r="I95" s="413" t="s">
        <v>23</v>
      </c>
      <c r="J95" s="380" t="s">
        <v>23</v>
      </c>
      <c r="K95" s="413" t="s">
        <v>23</v>
      </c>
      <c r="L95" s="381" t="s">
        <v>23</v>
      </c>
      <c r="M95" s="380">
        <v>0</v>
      </c>
      <c r="N95" s="411" t="s">
        <v>23</v>
      </c>
      <c r="O95" s="413" t="s">
        <v>23</v>
      </c>
      <c r="P95" s="380" t="s">
        <v>23</v>
      </c>
      <c r="Q95" s="413" t="s">
        <v>23</v>
      </c>
      <c r="R95" s="381" t="s">
        <v>23</v>
      </c>
    </row>
    <row r="96" spans="2:18" ht="17" x14ac:dyDescent="0.2">
      <c r="B96" s="379">
        <v>83</v>
      </c>
      <c r="C96" s="380" t="s">
        <v>1919</v>
      </c>
      <c r="D96" s="379">
        <v>60</v>
      </c>
      <c r="E96" s="409">
        <v>1405.633</v>
      </c>
      <c r="F96" s="417">
        <v>24</v>
      </c>
      <c r="G96" s="380">
        <v>1</v>
      </c>
      <c r="H96" s="411" t="s">
        <v>787</v>
      </c>
      <c r="I96" s="413">
        <v>88.100999999999999</v>
      </c>
      <c r="J96" s="380">
        <v>7</v>
      </c>
      <c r="K96" s="413">
        <v>88.100999999999999</v>
      </c>
      <c r="L96" s="381">
        <v>7</v>
      </c>
      <c r="M96" s="380">
        <v>0</v>
      </c>
      <c r="N96" s="411" t="s">
        <v>23</v>
      </c>
      <c r="O96" s="413" t="s">
        <v>23</v>
      </c>
      <c r="P96" s="380" t="s">
        <v>23</v>
      </c>
      <c r="Q96" s="413" t="s">
        <v>23</v>
      </c>
      <c r="R96" s="381" t="s">
        <v>23</v>
      </c>
    </row>
    <row r="97" spans="2:18" ht="17" x14ac:dyDescent="0.2">
      <c r="B97" s="379">
        <v>84</v>
      </c>
      <c r="C97" s="380" t="s">
        <v>1920</v>
      </c>
      <c r="D97" s="379">
        <v>34</v>
      </c>
      <c r="E97" s="409">
        <v>983.61500000000001</v>
      </c>
      <c r="F97" s="417">
        <v>16</v>
      </c>
      <c r="G97" s="380">
        <v>0</v>
      </c>
      <c r="H97" s="411" t="s">
        <v>23</v>
      </c>
      <c r="I97" s="413" t="s">
        <v>23</v>
      </c>
      <c r="J97" s="380" t="s">
        <v>23</v>
      </c>
      <c r="K97" s="413" t="s">
        <v>23</v>
      </c>
      <c r="L97" s="381" t="s">
        <v>23</v>
      </c>
      <c r="M97" s="380">
        <v>0</v>
      </c>
      <c r="N97" s="411" t="s">
        <v>23</v>
      </c>
      <c r="O97" s="413" t="s">
        <v>23</v>
      </c>
      <c r="P97" s="380" t="s">
        <v>23</v>
      </c>
      <c r="Q97" s="413" t="s">
        <v>23</v>
      </c>
      <c r="R97" s="381" t="s">
        <v>23</v>
      </c>
    </row>
    <row r="98" spans="2:18" ht="17" x14ac:dyDescent="0.2">
      <c r="B98" s="379">
        <v>85</v>
      </c>
      <c r="C98" s="380" t="s">
        <v>1921</v>
      </c>
      <c r="D98" s="379">
        <v>32</v>
      </c>
      <c r="E98" s="409">
        <v>985.43</v>
      </c>
      <c r="F98" s="417">
        <v>3</v>
      </c>
      <c r="G98" s="380">
        <v>0</v>
      </c>
      <c r="H98" s="411" t="s">
        <v>23</v>
      </c>
      <c r="I98" s="413" t="s">
        <v>23</v>
      </c>
      <c r="J98" s="380" t="s">
        <v>23</v>
      </c>
      <c r="K98" s="413" t="s">
        <v>23</v>
      </c>
      <c r="L98" s="381" t="s">
        <v>23</v>
      </c>
      <c r="M98" s="380">
        <v>0</v>
      </c>
      <c r="N98" s="411" t="s">
        <v>23</v>
      </c>
      <c r="O98" s="413" t="s">
        <v>23</v>
      </c>
      <c r="P98" s="380" t="s">
        <v>23</v>
      </c>
      <c r="Q98" s="413" t="s">
        <v>23</v>
      </c>
      <c r="R98" s="381" t="s">
        <v>23</v>
      </c>
    </row>
    <row r="99" spans="2:18" ht="17" x14ac:dyDescent="0.2">
      <c r="B99" s="379">
        <v>86</v>
      </c>
      <c r="C99" s="380" t="s">
        <v>1922</v>
      </c>
      <c r="D99" s="379">
        <v>140</v>
      </c>
      <c r="E99" s="409">
        <v>4471.5780000000004</v>
      </c>
      <c r="F99" s="417">
        <v>46</v>
      </c>
      <c r="G99" s="380">
        <v>0</v>
      </c>
      <c r="H99" s="411" t="s">
        <v>23</v>
      </c>
      <c r="I99" s="413" t="s">
        <v>23</v>
      </c>
      <c r="J99" s="380" t="s">
        <v>23</v>
      </c>
      <c r="K99" s="413" t="s">
        <v>23</v>
      </c>
      <c r="L99" s="381" t="s">
        <v>23</v>
      </c>
      <c r="M99" s="380">
        <v>0</v>
      </c>
      <c r="N99" s="411" t="s">
        <v>23</v>
      </c>
      <c r="O99" s="413" t="s">
        <v>23</v>
      </c>
      <c r="P99" s="380" t="s">
        <v>23</v>
      </c>
      <c r="Q99" s="413" t="s">
        <v>23</v>
      </c>
      <c r="R99" s="381" t="s">
        <v>23</v>
      </c>
    </row>
    <row r="100" spans="2:18" ht="17" x14ac:dyDescent="0.2">
      <c r="B100" s="379">
        <v>87</v>
      </c>
      <c r="C100" s="380" t="s">
        <v>1923</v>
      </c>
      <c r="D100" s="379">
        <v>52</v>
      </c>
      <c r="E100" s="409">
        <v>898.29399999999998</v>
      </c>
      <c r="F100" s="417">
        <v>17</v>
      </c>
      <c r="G100" s="380">
        <v>1</v>
      </c>
      <c r="H100" s="411" t="s">
        <v>788</v>
      </c>
      <c r="I100" s="413">
        <v>130.072</v>
      </c>
      <c r="J100" s="380">
        <v>12</v>
      </c>
      <c r="K100" s="413">
        <v>130.072</v>
      </c>
      <c r="L100" s="381">
        <v>12</v>
      </c>
      <c r="M100" s="380">
        <v>0</v>
      </c>
      <c r="N100" s="411" t="s">
        <v>23</v>
      </c>
      <c r="O100" s="413" t="s">
        <v>23</v>
      </c>
      <c r="P100" s="380" t="s">
        <v>23</v>
      </c>
      <c r="Q100" s="413" t="s">
        <v>23</v>
      </c>
      <c r="R100" s="381" t="s">
        <v>23</v>
      </c>
    </row>
    <row r="101" spans="2:18" ht="51" x14ac:dyDescent="0.2">
      <c r="B101" s="379">
        <v>88</v>
      </c>
      <c r="C101" s="380" t="s">
        <v>1648</v>
      </c>
      <c r="D101" s="379">
        <v>383</v>
      </c>
      <c r="E101" s="409">
        <v>20050.646000000001</v>
      </c>
      <c r="F101" s="417">
        <v>107</v>
      </c>
      <c r="G101" s="380">
        <v>14</v>
      </c>
      <c r="H101" s="411" t="s">
        <v>852</v>
      </c>
      <c r="I101" s="413">
        <v>4.2809999999999997</v>
      </c>
      <c r="J101" s="380">
        <v>2</v>
      </c>
      <c r="K101" s="413">
        <v>365.68799999999999</v>
      </c>
      <c r="L101" s="381">
        <v>54</v>
      </c>
      <c r="M101" s="380">
        <v>7</v>
      </c>
      <c r="N101" s="411" t="s">
        <v>2400</v>
      </c>
      <c r="O101" s="413">
        <v>4.2809999999999997</v>
      </c>
      <c r="P101" s="380">
        <v>2</v>
      </c>
      <c r="Q101" s="413">
        <v>128.17599999999999</v>
      </c>
      <c r="R101" s="381">
        <v>24</v>
      </c>
    </row>
    <row r="102" spans="2:18" ht="17" x14ac:dyDescent="0.2">
      <c r="B102" s="379">
        <v>89</v>
      </c>
      <c r="C102" s="380" t="s">
        <v>1660</v>
      </c>
      <c r="D102" s="379">
        <v>89</v>
      </c>
      <c r="E102" s="409">
        <v>1116.9649999999999</v>
      </c>
      <c r="F102" s="417">
        <v>40</v>
      </c>
      <c r="G102" s="380">
        <v>2</v>
      </c>
      <c r="H102" s="411" t="s">
        <v>853</v>
      </c>
      <c r="I102" s="413">
        <v>14.308</v>
      </c>
      <c r="J102" s="380">
        <v>1</v>
      </c>
      <c r="K102" s="413">
        <v>54.646000000000001</v>
      </c>
      <c r="L102" s="381">
        <v>6</v>
      </c>
      <c r="M102" s="380">
        <v>2</v>
      </c>
      <c r="N102" s="411" t="s">
        <v>853</v>
      </c>
      <c r="O102" s="413">
        <v>14.308</v>
      </c>
      <c r="P102" s="380">
        <v>1</v>
      </c>
      <c r="Q102" s="413">
        <v>54.646000000000001</v>
      </c>
      <c r="R102" s="381">
        <v>6</v>
      </c>
    </row>
    <row r="103" spans="2:18" ht="17" x14ac:dyDescent="0.2">
      <c r="B103" s="379">
        <v>90</v>
      </c>
      <c r="C103" s="380" t="s">
        <v>1834</v>
      </c>
      <c r="D103" s="379">
        <v>440</v>
      </c>
      <c r="E103" s="409">
        <v>10803.713</v>
      </c>
      <c r="F103" s="417">
        <v>144</v>
      </c>
      <c r="G103" s="380">
        <v>1</v>
      </c>
      <c r="H103" s="411" t="s">
        <v>798</v>
      </c>
      <c r="I103" s="413">
        <v>95.483000000000004</v>
      </c>
      <c r="J103" s="380">
        <v>4</v>
      </c>
      <c r="K103" s="413">
        <v>95.483000000000004</v>
      </c>
      <c r="L103" s="381">
        <v>4</v>
      </c>
      <c r="M103" s="380">
        <v>1</v>
      </c>
      <c r="N103" s="411" t="s">
        <v>798</v>
      </c>
      <c r="O103" s="413">
        <v>95.483000000000004</v>
      </c>
      <c r="P103" s="380">
        <v>4</v>
      </c>
      <c r="Q103" s="413">
        <v>95.483000000000004</v>
      </c>
      <c r="R103" s="381">
        <v>4</v>
      </c>
    </row>
    <row r="104" spans="2:18" ht="17" x14ac:dyDescent="0.2">
      <c r="B104" s="379">
        <v>91</v>
      </c>
      <c r="C104" s="380" t="s">
        <v>1664</v>
      </c>
      <c r="D104" s="379">
        <v>549</v>
      </c>
      <c r="E104" s="409">
        <v>7804.1909999999998</v>
      </c>
      <c r="F104" s="417">
        <v>187</v>
      </c>
      <c r="G104" s="380">
        <v>8</v>
      </c>
      <c r="H104" s="411" t="s">
        <v>898</v>
      </c>
      <c r="I104" s="413">
        <v>5.33</v>
      </c>
      <c r="J104" s="380">
        <v>4</v>
      </c>
      <c r="K104" s="413">
        <v>888.73900000000003</v>
      </c>
      <c r="L104" s="381">
        <v>111</v>
      </c>
      <c r="M104" s="380">
        <v>2</v>
      </c>
      <c r="N104" s="411" t="s">
        <v>2407</v>
      </c>
      <c r="O104" s="413">
        <v>270.39800000000002</v>
      </c>
      <c r="P104" s="380">
        <v>26</v>
      </c>
      <c r="Q104" s="413">
        <v>564.48699999999997</v>
      </c>
      <c r="R104" s="381">
        <v>63</v>
      </c>
    </row>
    <row r="105" spans="2:18" ht="17" x14ac:dyDescent="0.2">
      <c r="B105" s="379">
        <v>92</v>
      </c>
      <c r="C105" s="380" t="s">
        <v>1924</v>
      </c>
      <c r="D105" s="379">
        <v>128</v>
      </c>
      <c r="E105" s="409">
        <v>1651.1289999999999</v>
      </c>
      <c r="F105" s="417">
        <v>60</v>
      </c>
      <c r="G105" s="380">
        <v>4</v>
      </c>
      <c r="H105" s="411" t="s">
        <v>854</v>
      </c>
      <c r="I105" s="413">
        <v>39.005000000000003</v>
      </c>
      <c r="J105" s="380">
        <v>4</v>
      </c>
      <c r="K105" s="413">
        <v>91.552000000000007</v>
      </c>
      <c r="L105" s="381">
        <v>10</v>
      </c>
      <c r="M105" s="380">
        <v>1</v>
      </c>
      <c r="N105" s="411" t="s">
        <v>802</v>
      </c>
      <c r="O105" s="413">
        <v>91.552000000000007</v>
      </c>
      <c r="P105" s="380">
        <v>10</v>
      </c>
      <c r="Q105" s="413">
        <v>91.552000000000007</v>
      </c>
      <c r="R105" s="381">
        <v>10</v>
      </c>
    </row>
    <row r="106" spans="2:18" ht="17" x14ac:dyDescent="0.2">
      <c r="B106" s="379">
        <v>93</v>
      </c>
      <c r="C106" s="380" t="s">
        <v>1700</v>
      </c>
      <c r="D106" s="379">
        <v>59</v>
      </c>
      <c r="E106" s="409">
        <v>1140.9359999999999</v>
      </c>
      <c r="F106" s="417">
        <v>21</v>
      </c>
      <c r="G106" s="380">
        <v>2</v>
      </c>
      <c r="H106" s="411" t="s">
        <v>899</v>
      </c>
      <c r="I106" s="413">
        <v>15.302</v>
      </c>
      <c r="J106" s="380">
        <v>2</v>
      </c>
      <c r="K106" s="413">
        <v>35.000999999999998</v>
      </c>
      <c r="L106" s="381">
        <v>4</v>
      </c>
      <c r="M106" s="380">
        <v>1</v>
      </c>
      <c r="N106" s="411" t="s">
        <v>804</v>
      </c>
      <c r="O106" s="413">
        <v>15.302</v>
      </c>
      <c r="P106" s="380">
        <v>2</v>
      </c>
      <c r="Q106" s="413">
        <v>15.302</v>
      </c>
      <c r="R106" s="381">
        <v>2</v>
      </c>
    </row>
    <row r="107" spans="2:18" ht="17" x14ac:dyDescent="0.2">
      <c r="B107" s="379">
        <v>94</v>
      </c>
      <c r="C107" s="380" t="s">
        <v>1925</v>
      </c>
      <c r="D107" s="379">
        <v>51</v>
      </c>
      <c r="E107" s="409">
        <v>967</v>
      </c>
      <c r="F107" s="417">
        <v>19</v>
      </c>
      <c r="G107" s="380">
        <v>1</v>
      </c>
      <c r="H107" s="411" t="s">
        <v>805</v>
      </c>
      <c r="I107" s="413">
        <v>99.177000000000007</v>
      </c>
      <c r="J107" s="380">
        <v>3</v>
      </c>
      <c r="K107" s="413">
        <v>99.177000000000007</v>
      </c>
      <c r="L107" s="381">
        <v>3</v>
      </c>
      <c r="M107" s="380">
        <v>1</v>
      </c>
      <c r="N107" s="411" t="s">
        <v>805</v>
      </c>
      <c r="O107" s="413">
        <v>99.177000000000007</v>
      </c>
      <c r="P107" s="380">
        <v>3</v>
      </c>
      <c r="Q107" s="413">
        <v>99.177000000000007</v>
      </c>
      <c r="R107" s="381">
        <v>3</v>
      </c>
    </row>
    <row r="108" spans="2:18" ht="17" x14ac:dyDescent="0.2">
      <c r="B108" s="379">
        <v>95</v>
      </c>
      <c r="C108" s="380" t="s">
        <v>1926</v>
      </c>
      <c r="D108" s="379">
        <v>62</v>
      </c>
      <c r="E108" s="409">
        <v>3913.9319999999998</v>
      </c>
      <c r="F108" s="417">
        <v>11</v>
      </c>
      <c r="G108" s="380">
        <v>1</v>
      </c>
      <c r="H108" s="411" t="s">
        <v>806</v>
      </c>
      <c r="I108" s="413">
        <v>1.639</v>
      </c>
      <c r="J108" s="380">
        <v>2</v>
      </c>
      <c r="K108" s="413">
        <v>1.639</v>
      </c>
      <c r="L108" s="381">
        <v>2</v>
      </c>
      <c r="M108" s="380">
        <v>1</v>
      </c>
      <c r="N108" s="411" t="s">
        <v>806</v>
      </c>
      <c r="O108" s="413">
        <v>1.639</v>
      </c>
      <c r="P108" s="380">
        <v>2</v>
      </c>
      <c r="Q108" s="413">
        <v>1.639</v>
      </c>
      <c r="R108" s="381">
        <v>2</v>
      </c>
    </row>
    <row r="109" spans="2:18" ht="17" x14ac:dyDescent="0.2">
      <c r="B109" s="379">
        <v>96</v>
      </c>
      <c r="C109" s="380" t="s">
        <v>1927</v>
      </c>
      <c r="D109" s="379">
        <v>111</v>
      </c>
      <c r="E109" s="409">
        <v>969.04499999999996</v>
      </c>
      <c r="F109" s="417">
        <v>46</v>
      </c>
      <c r="G109" s="380">
        <v>0</v>
      </c>
      <c r="H109" s="411" t="s">
        <v>23</v>
      </c>
      <c r="I109" s="413" t="s">
        <v>23</v>
      </c>
      <c r="J109" s="380" t="s">
        <v>23</v>
      </c>
      <c r="K109" s="413" t="s">
        <v>23</v>
      </c>
      <c r="L109" s="381" t="s">
        <v>23</v>
      </c>
      <c r="M109" s="380">
        <v>0</v>
      </c>
      <c r="N109" s="411" t="s">
        <v>23</v>
      </c>
      <c r="O109" s="413" t="s">
        <v>23</v>
      </c>
      <c r="P109" s="380" t="s">
        <v>23</v>
      </c>
      <c r="Q109" s="413" t="s">
        <v>23</v>
      </c>
      <c r="R109" s="381" t="s">
        <v>23</v>
      </c>
    </row>
    <row r="110" spans="2:18" ht="17" x14ac:dyDescent="0.2">
      <c r="B110" s="379">
        <v>97</v>
      </c>
      <c r="C110" s="380" t="s">
        <v>1705</v>
      </c>
      <c r="D110" s="379">
        <v>81</v>
      </c>
      <c r="E110" s="409">
        <v>965.50300000000004</v>
      </c>
      <c r="F110" s="417">
        <v>29</v>
      </c>
      <c r="G110" s="380">
        <v>0</v>
      </c>
      <c r="H110" s="411" t="s">
        <v>23</v>
      </c>
      <c r="I110" s="413" t="s">
        <v>23</v>
      </c>
      <c r="J110" s="380" t="s">
        <v>23</v>
      </c>
      <c r="K110" s="413" t="s">
        <v>23</v>
      </c>
      <c r="L110" s="381" t="s">
        <v>23</v>
      </c>
      <c r="M110" s="380">
        <v>0</v>
      </c>
      <c r="N110" s="411" t="s">
        <v>23</v>
      </c>
      <c r="O110" s="413" t="s">
        <v>23</v>
      </c>
      <c r="P110" s="380" t="s">
        <v>23</v>
      </c>
      <c r="Q110" s="413" t="s">
        <v>23</v>
      </c>
      <c r="R110" s="381" t="s">
        <v>23</v>
      </c>
    </row>
    <row r="111" spans="2:18" ht="34" x14ac:dyDescent="0.2">
      <c r="B111" s="379">
        <v>98</v>
      </c>
      <c r="C111" s="380" t="s">
        <v>1710</v>
      </c>
      <c r="D111" s="379">
        <v>86</v>
      </c>
      <c r="E111" s="409">
        <v>994.077</v>
      </c>
      <c r="F111" s="417">
        <v>40</v>
      </c>
      <c r="G111" s="380">
        <v>9</v>
      </c>
      <c r="H111" s="411" t="s">
        <v>855</v>
      </c>
      <c r="I111" s="413">
        <v>28.13</v>
      </c>
      <c r="J111" s="380">
        <v>4</v>
      </c>
      <c r="K111" s="413">
        <v>608.58799999999997</v>
      </c>
      <c r="L111" s="381">
        <v>56</v>
      </c>
      <c r="M111" s="380">
        <v>4</v>
      </c>
      <c r="N111" s="411" t="s">
        <v>2408</v>
      </c>
      <c r="O111" s="413">
        <v>234.87</v>
      </c>
      <c r="P111" s="380">
        <v>27</v>
      </c>
      <c r="Q111" s="413">
        <v>483.77</v>
      </c>
      <c r="R111" s="381">
        <v>45</v>
      </c>
    </row>
    <row r="112" spans="2:18" ht="17" x14ac:dyDescent="0.2">
      <c r="B112" s="379">
        <v>99</v>
      </c>
      <c r="C112" s="380" t="s">
        <v>1928</v>
      </c>
      <c r="D112" s="379">
        <v>80</v>
      </c>
      <c r="E112" s="409">
        <v>990.3</v>
      </c>
      <c r="F112" s="417">
        <v>36</v>
      </c>
      <c r="G112" s="380">
        <v>3</v>
      </c>
      <c r="H112" s="411" t="s">
        <v>856</v>
      </c>
      <c r="I112" s="413">
        <v>20.122</v>
      </c>
      <c r="J112" s="380">
        <v>1</v>
      </c>
      <c r="K112" s="413">
        <v>104.32599999999999</v>
      </c>
      <c r="L112" s="381">
        <v>13</v>
      </c>
      <c r="M112" s="380">
        <v>2</v>
      </c>
      <c r="N112" s="411" t="s">
        <v>2409</v>
      </c>
      <c r="O112" s="413">
        <v>20.122</v>
      </c>
      <c r="P112" s="380">
        <v>1</v>
      </c>
      <c r="Q112" s="413">
        <v>82.55</v>
      </c>
      <c r="R112" s="381">
        <v>11</v>
      </c>
    </row>
    <row r="113" spans="2:18" ht="17" x14ac:dyDescent="0.2">
      <c r="B113" s="379">
        <v>100</v>
      </c>
      <c r="C113" s="380" t="s">
        <v>1725</v>
      </c>
      <c r="D113" s="379">
        <v>51</v>
      </c>
      <c r="E113" s="409">
        <v>1280.2940000000001</v>
      </c>
      <c r="F113" s="417">
        <v>22</v>
      </c>
      <c r="G113" s="380">
        <v>2</v>
      </c>
      <c r="H113" s="411" t="s">
        <v>857</v>
      </c>
      <c r="I113" s="413">
        <v>9.7390000000000008</v>
      </c>
      <c r="J113" s="67">
        <v>1</v>
      </c>
      <c r="K113" s="413">
        <v>138.34299999999999</v>
      </c>
      <c r="L113" s="381">
        <v>8</v>
      </c>
      <c r="M113" s="380">
        <v>1</v>
      </c>
      <c r="N113" s="411" t="s">
        <v>814</v>
      </c>
      <c r="O113" s="413">
        <v>9.7390000000000008</v>
      </c>
      <c r="P113" s="67">
        <v>1</v>
      </c>
      <c r="Q113" s="413">
        <v>9.7390000000000008</v>
      </c>
      <c r="R113" s="381">
        <v>1</v>
      </c>
    </row>
    <row r="114" spans="2:18" ht="17" x14ac:dyDescent="0.2">
      <c r="B114" s="379">
        <v>101</v>
      </c>
      <c r="C114" s="380" t="s">
        <v>1729</v>
      </c>
      <c r="D114" s="379">
        <v>120</v>
      </c>
      <c r="E114" s="409">
        <v>989.49300000000005</v>
      </c>
      <c r="F114" s="417">
        <v>47</v>
      </c>
      <c r="G114" s="380">
        <v>5</v>
      </c>
      <c r="H114" s="411" t="s">
        <v>900</v>
      </c>
      <c r="I114" s="413">
        <v>6.944</v>
      </c>
      <c r="J114" s="67">
        <v>1</v>
      </c>
      <c r="K114" s="413">
        <v>87.838999999999999</v>
      </c>
      <c r="L114" s="381">
        <v>14</v>
      </c>
      <c r="M114" s="380">
        <v>5</v>
      </c>
      <c r="N114" s="411" t="s">
        <v>900</v>
      </c>
      <c r="O114" s="413">
        <v>6.944</v>
      </c>
      <c r="P114" s="67">
        <v>1</v>
      </c>
      <c r="Q114" s="413">
        <v>87.838999999999999</v>
      </c>
      <c r="R114" s="381">
        <v>14</v>
      </c>
    </row>
    <row r="115" spans="2:18" ht="17" x14ac:dyDescent="0.2">
      <c r="B115" s="379">
        <v>102</v>
      </c>
      <c r="C115" s="380" t="s">
        <v>1929</v>
      </c>
      <c r="D115" s="379">
        <v>40</v>
      </c>
      <c r="E115" s="409">
        <v>1428.84</v>
      </c>
      <c r="F115" s="417">
        <v>10</v>
      </c>
      <c r="G115" s="380">
        <v>0</v>
      </c>
      <c r="H115" s="411" t="s">
        <v>23</v>
      </c>
      <c r="I115" s="413" t="s">
        <v>23</v>
      </c>
      <c r="J115" s="67" t="s">
        <v>23</v>
      </c>
      <c r="K115" s="413" t="s">
        <v>23</v>
      </c>
      <c r="L115" s="381" t="s">
        <v>23</v>
      </c>
      <c r="M115" s="380">
        <v>0</v>
      </c>
      <c r="N115" s="411" t="s">
        <v>23</v>
      </c>
      <c r="O115" s="413" t="s">
        <v>23</v>
      </c>
      <c r="P115" s="67" t="s">
        <v>23</v>
      </c>
      <c r="Q115" s="413" t="s">
        <v>23</v>
      </c>
      <c r="R115" s="381" t="s">
        <v>23</v>
      </c>
    </row>
    <row r="116" spans="2:18" ht="17" x14ac:dyDescent="0.2">
      <c r="B116" s="379">
        <v>103</v>
      </c>
      <c r="C116" s="380" t="s">
        <v>1930</v>
      </c>
      <c r="D116" s="379">
        <v>30</v>
      </c>
      <c r="E116" s="409">
        <v>1014.9829999999999</v>
      </c>
      <c r="F116" s="417">
        <v>16</v>
      </c>
      <c r="G116" s="380">
        <v>2</v>
      </c>
      <c r="H116" s="411" t="s">
        <v>858</v>
      </c>
      <c r="I116" s="413">
        <v>12.91</v>
      </c>
      <c r="J116" s="67">
        <v>2</v>
      </c>
      <c r="K116" s="413">
        <v>28.306000000000001</v>
      </c>
      <c r="L116" s="381">
        <v>3</v>
      </c>
      <c r="M116" s="380">
        <v>2</v>
      </c>
      <c r="N116" s="411" t="s">
        <v>858</v>
      </c>
      <c r="O116" s="413">
        <v>12.91</v>
      </c>
      <c r="P116" s="67">
        <v>2</v>
      </c>
      <c r="Q116" s="413">
        <v>28.306000000000001</v>
      </c>
      <c r="R116" s="381">
        <v>3</v>
      </c>
    </row>
    <row r="117" spans="2:18" ht="17" x14ac:dyDescent="0.2">
      <c r="B117" s="379">
        <v>104</v>
      </c>
      <c r="C117" s="380" t="s">
        <v>1839</v>
      </c>
      <c r="D117" s="379">
        <v>18</v>
      </c>
      <c r="E117" s="409">
        <v>1682.72</v>
      </c>
      <c r="F117" s="417">
        <v>5</v>
      </c>
      <c r="G117" s="380">
        <v>0</v>
      </c>
      <c r="H117" s="411" t="s">
        <v>23</v>
      </c>
      <c r="I117" s="413" t="s">
        <v>23</v>
      </c>
      <c r="J117" s="67" t="s">
        <v>23</v>
      </c>
      <c r="K117" s="413" t="s">
        <v>23</v>
      </c>
      <c r="L117" s="381" t="s">
        <v>23</v>
      </c>
      <c r="M117" s="380">
        <v>0</v>
      </c>
      <c r="N117" s="411" t="s">
        <v>23</v>
      </c>
      <c r="O117" s="413" t="s">
        <v>23</v>
      </c>
      <c r="P117" s="67" t="s">
        <v>23</v>
      </c>
      <c r="Q117" s="413" t="s">
        <v>23</v>
      </c>
      <c r="R117" s="381" t="s">
        <v>23</v>
      </c>
    </row>
    <row r="118" spans="2:18" ht="17" x14ac:dyDescent="0.2">
      <c r="B118" s="379">
        <v>105</v>
      </c>
      <c r="C118" s="380" t="s">
        <v>1842</v>
      </c>
      <c r="D118" s="379">
        <v>64</v>
      </c>
      <c r="E118" s="409">
        <v>2273.2249999999999</v>
      </c>
      <c r="F118" s="417">
        <v>24</v>
      </c>
      <c r="G118" s="380">
        <v>0</v>
      </c>
      <c r="H118" s="411" t="s">
        <v>23</v>
      </c>
      <c r="I118" s="413" t="s">
        <v>23</v>
      </c>
      <c r="J118" s="67" t="s">
        <v>23</v>
      </c>
      <c r="K118" s="413" t="s">
        <v>23</v>
      </c>
      <c r="L118" s="381" t="s">
        <v>23</v>
      </c>
      <c r="M118" s="380">
        <v>0</v>
      </c>
      <c r="N118" s="411" t="s">
        <v>23</v>
      </c>
      <c r="O118" s="413" t="s">
        <v>23</v>
      </c>
      <c r="P118" s="67" t="s">
        <v>23</v>
      </c>
      <c r="Q118" s="413" t="s">
        <v>23</v>
      </c>
      <c r="R118" s="381" t="s">
        <v>23</v>
      </c>
    </row>
    <row r="119" spans="2:18" ht="17" x14ac:dyDescent="0.2">
      <c r="B119" s="379">
        <v>106</v>
      </c>
      <c r="C119" s="380" t="s">
        <v>1931</v>
      </c>
      <c r="D119" s="379">
        <v>49</v>
      </c>
      <c r="E119" s="409">
        <v>1277.9949999999999</v>
      </c>
      <c r="F119" s="417">
        <v>18</v>
      </c>
      <c r="G119" s="380">
        <v>0</v>
      </c>
      <c r="H119" s="411" t="s">
        <v>23</v>
      </c>
      <c r="I119" s="413" t="s">
        <v>23</v>
      </c>
      <c r="J119" s="67" t="s">
        <v>23</v>
      </c>
      <c r="K119" s="413" t="s">
        <v>23</v>
      </c>
      <c r="L119" s="381" t="s">
        <v>23</v>
      </c>
      <c r="M119" s="380">
        <v>0</v>
      </c>
      <c r="N119" s="411" t="s">
        <v>23</v>
      </c>
      <c r="O119" s="413" t="s">
        <v>23</v>
      </c>
      <c r="P119" s="67" t="s">
        <v>23</v>
      </c>
      <c r="Q119" s="413" t="s">
        <v>23</v>
      </c>
      <c r="R119" s="381" t="s">
        <v>23</v>
      </c>
    </row>
    <row r="120" spans="2:18" ht="17" x14ac:dyDescent="0.2">
      <c r="B120" s="379">
        <v>107</v>
      </c>
      <c r="C120" s="380" t="s">
        <v>1932</v>
      </c>
      <c r="D120" s="379">
        <v>65</v>
      </c>
      <c r="E120" s="409">
        <v>1118.9639999999999</v>
      </c>
      <c r="F120" s="417">
        <v>25</v>
      </c>
      <c r="G120" s="380">
        <v>1</v>
      </c>
      <c r="H120" s="411" t="s">
        <v>824</v>
      </c>
      <c r="I120" s="413">
        <v>5.3680000000000003</v>
      </c>
      <c r="J120" s="67">
        <v>1</v>
      </c>
      <c r="K120" s="413">
        <v>5.3680000000000003</v>
      </c>
      <c r="L120" s="381">
        <v>1</v>
      </c>
      <c r="M120" s="380">
        <v>1</v>
      </c>
      <c r="N120" s="411" t="s">
        <v>824</v>
      </c>
      <c r="O120" s="413">
        <v>5.3680000000000003</v>
      </c>
      <c r="P120" s="67">
        <v>1</v>
      </c>
      <c r="Q120" s="413">
        <v>5.3680000000000003</v>
      </c>
      <c r="R120" s="381">
        <v>1</v>
      </c>
    </row>
    <row r="121" spans="2:18" ht="17" x14ac:dyDescent="0.2">
      <c r="B121" s="379">
        <v>108</v>
      </c>
      <c r="C121" s="380" t="s">
        <v>1933</v>
      </c>
      <c r="D121" s="379">
        <v>50</v>
      </c>
      <c r="E121" s="409">
        <v>984.3</v>
      </c>
      <c r="F121" s="417">
        <v>14</v>
      </c>
      <c r="G121" s="380">
        <v>2</v>
      </c>
      <c r="H121" s="411" t="s">
        <v>859</v>
      </c>
      <c r="I121" s="413">
        <v>4.5529999999999999</v>
      </c>
      <c r="J121" s="67">
        <v>1</v>
      </c>
      <c r="K121" s="413">
        <v>69.599000000000004</v>
      </c>
      <c r="L121" s="381">
        <v>4</v>
      </c>
      <c r="M121" s="380">
        <v>2</v>
      </c>
      <c r="N121" s="411" t="s">
        <v>859</v>
      </c>
      <c r="O121" s="413">
        <v>4.5529999999999999</v>
      </c>
      <c r="P121" s="67">
        <v>1</v>
      </c>
      <c r="Q121" s="413">
        <v>69.599000000000004</v>
      </c>
      <c r="R121" s="381">
        <v>4</v>
      </c>
    </row>
    <row r="122" spans="2:18" ht="17" x14ac:dyDescent="0.2">
      <c r="B122" s="388">
        <v>109</v>
      </c>
      <c r="C122" s="389" t="s">
        <v>1934</v>
      </c>
      <c r="D122" s="388">
        <v>68</v>
      </c>
      <c r="E122" s="410">
        <v>985.82100000000003</v>
      </c>
      <c r="F122" s="418">
        <v>33</v>
      </c>
      <c r="G122" s="389">
        <v>2</v>
      </c>
      <c r="H122" s="412" t="s">
        <v>860</v>
      </c>
      <c r="I122" s="414">
        <v>2.5569999999999999</v>
      </c>
      <c r="J122" s="77">
        <v>1</v>
      </c>
      <c r="K122" s="414">
        <v>46.526000000000003</v>
      </c>
      <c r="L122" s="390">
        <v>3</v>
      </c>
      <c r="M122" s="389">
        <v>0</v>
      </c>
      <c r="N122" s="412" t="s">
        <v>23</v>
      </c>
      <c r="O122" s="414" t="s">
        <v>23</v>
      </c>
      <c r="P122" s="77" t="s">
        <v>23</v>
      </c>
      <c r="Q122" s="414" t="s">
        <v>23</v>
      </c>
      <c r="R122" s="390" t="s">
        <v>23</v>
      </c>
    </row>
    <row r="124" spans="2:18" x14ac:dyDescent="0.2">
      <c r="B124" t="s">
        <v>901</v>
      </c>
    </row>
    <row r="126" spans="2:18" x14ac:dyDescent="0.2">
      <c r="G126" s="569" t="s">
        <v>2438</v>
      </c>
      <c r="H126" s="570"/>
      <c r="I126" s="570"/>
      <c r="J126" s="570"/>
      <c r="K126" s="570"/>
      <c r="L126" s="571"/>
      <c r="M126" s="569" t="s">
        <v>2439</v>
      </c>
      <c r="N126" s="570"/>
      <c r="O126" s="570"/>
      <c r="P126" s="570"/>
      <c r="Q126" s="570"/>
      <c r="R126" s="571"/>
    </row>
    <row r="127" spans="2:18" x14ac:dyDescent="0.2">
      <c r="B127" s="115" t="s">
        <v>877</v>
      </c>
      <c r="C127" s="116" t="s">
        <v>876</v>
      </c>
      <c r="D127" s="115" t="s">
        <v>861</v>
      </c>
      <c r="E127" s="116" t="s">
        <v>862</v>
      </c>
      <c r="F127" s="415" t="s">
        <v>864</v>
      </c>
      <c r="G127" s="116" t="s">
        <v>865</v>
      </c>
      <c r="H127" s="572" t="s">
        <v>866</v>
      </c>
      <c r="I127" s="116" t="s">
        <v>867</v>
      </c>
      <c r="J127" s="116" t="s">
        <v>867</v>
      </c>
      <c r="K127" s="116" t="s">
        <v>868</v>
      </c>
      <c r="L127" s="116" t="s">
        <v>868</v>
      </c>
      <c r="M127" s="115" t="s">
        <v>2401</v>
      </c>
      <c r="N127" s="572" t="s">
        <v>2402</v>
      </c>
      <c r="O127" s="116" t="s">
        <v>867</v>
      </c>
      <c r="P127" s="116" t="s">
        <v>867</v>
      </c>
      <c r="Q127" s="116" t="s">
        <v>868</v>
      </c>
      <c r="R127" s="117" t="s">
        <v>868</v>
      </c>
    </row>
    <row r="128" spans="2:18" ht="19" x14ac:dyDescent="0.2">
      <c r="B128" s="124" t="s">
        <v>878</v>
      </c>
      <c r="C128" s="113"/>
      <c r="D128" s="124" t="s">
        <v>881</v>
      </c>
      <c r="E128" s="113" t="s">
        <v>863</v>
      </c>
      <c r="F128" s="505" t="s">
        <v>880</v>
      </c>
      <c r="G128" s="113" t="s">
        <v>884</v>
      </c>
      <c r="H128" s="574"/>
      <c r="I128" s="113" t="s">
        <v>885</v>
      </c>
      <c r="J128" s="113" t="s">
        <v>886</v>
      </c>
      <c r="K128" s="113" t="s">
        <v>885</v>
      </c>
      <c r="L128" s="113" t="s">
        <v>886</v>
      </c>
      <c r="M128" s="124" t="s">
        <v>884</v>
      </c>
      <c r="N128" s="574"/>
      <c r="O128" s="113" t="s">
        <v>885</v>
      </c>
      <c r="P128" s="113" t="s">
        <v>886</v>
      </c>
      <c r="Q128" s="113" t="s">
        <v>885</v>
      </c>
      <c r="R128" s="125" t="s">
        <v>886</v>
      </c>
    </row>
    <row r="129" spans="2:18" x14ac:dyDescent="0.2">
      <c r="B129" s="118" t="s">
        <v>879</v>
      </c>
      <c r="C129" s="119"/>
      <c r="D129" s="118"/>
      <c r="E129" s="119"/>
      <c r="F129" s="416"/>
      <c r="G129" s="119"/>
      <c r="H129" s="120"/>
      <c r="I129" s="119"/>
      <c r="J129" s="119"/>
      <c r="K129" s="119"/>
      <c r="L129" s="119"/>
      <c r="M129" s="118"/>
      <c r="N129" s="119"/>
      <c r="O129" s="120"/>
      <c r="P129" s="119"/>
      <c r="Q129" s="119"/>
      <c r="R129" s="121"/>
    </row>
    <row r="130" spans="2:18" x14ac:dyDescent="0.2">
      <c r="B130" s="66" t="s">
        <v>870</v>
      </c>
      <c r="C130" s="67" t="s">
        <v>889</v>
      </c>
      <c r="D130" s="66">
        <v>24</v>
      </c>
      <c r="E130" s="81">
        <v>951.44799999999998</v>
      </c>
      <c r="F130" s="211">
        <v>4</v>
      </c>
      <c r="G130" s="67">
        <v>1</v>
      </c>
      <c r="H130" s="123" t="s">
        <v>756</v>
      </c>
      <c r="I130" s="80">
        <v>569.58299999999997</v>
      </c>
      <c r="J130" s="67">
        <v>13</v>
      </c>
      <c r="K130" s="80">
        <v>569.58299999999997</v>
      </c>
      <c r="L130" s="69">
        <v>13</v>
      </c>
      <c r="M130" s="67">
        <v>1</v>
      </c>
      <c r="N130" s="123" t="s">
        <v>756</v>
      </c>
      <c r="O130" s="80">
        <v>569.58299999999997</v>
      </c>
      <c r="P130" s="67">
        <v>13</v>
      </c>
      <c r="Q130" s="80">
        <v>569.58299999999997</v>
      </c>
      <c r="R130" s="69">
        <v>13</v>
      </c>
    </row>
    <row r="131" spans="2:18" x14ac:dyDescent="0.2">
      <c r="B131" s="66" t="s">
        <v>871</v>
      </c>
      <c r="C131" s="67" t="s">
        <v>890</v>
      </c>
      <c r="D131" s="66">
        <v>66</v>
      </c>
      <c r="E131" s="81">
        <v>941.61400000000003</v>
      </c>
      <c r="F131" s="211">
        <v>29</v>
      </c>
      <c r="G131" s="67">
        <v>1</v>
      </c>
      <c r="H131" s="123" t="s">
        <v>765</v>
      </c>
      <c r="I131" s="80">
        <v>1.41</v>
      </c>
      <c r="J131" s="67">
        <v>1</v>
      </c>
      <c r="K131" s="80">
        <v>1.41</v>
      </c>
      <c r="L131" s="69">
        <v>1</v>
      </c>
      <c r="M131" s="67">
        <v>1</v>
      </c>
      <c r="N131" s="123" t="s">
        <v>765</v>
      </c>
      <c r="O131" s="80">
        <v>1.41</v>
      </c>
      <c r="P131" s="67">
        <v>1</v>
      </c>
      <c r="Q131" s="80">
        <v>1.41</v>
      </c>
      <c r="R131" s="69">
        <v>1</v>
      </c>
    </row>
    <row r="132" spans="2:18" x14ac:dyDescent="0.2">
      <c r="B132" s="66" t="s">
        <v>872</v>
      </c>
      <c r="C132" s="67" t="s">
        <v>891</v>
      </c>
      <c r="D132" s="66">
        <v>25</v>
      </c>
      <c r="E132" s="81">
        <v>995.29600000000005</v>
      </c>
      <c r="F132" s="211">
        <v>8</v>
      </c>
      <c r="G132" s="67">
        <v>1</v>
      </c>
      <c r="H132" s="123" t="s">
        <v>766</v>
      </c>
      <c r="I132" s="80">
        <v>26.812000000000001</v>
      </c>
      <c r="J132" s="67">
        <v>3</v>
      </c>
      <c r="K132" s="80">
        <v>26.812000000000001</v>
      </c>
      <c r="L132" s="69">
        <v>3</v>
      </c>
      <c r="M132" s="67">
        <v>1</v>
      </c>
      <c r="N132" s="123" t="s">
        <v>766</v>
      </c>
      <c r="O132" s="80">
        <v>26.812000000000001</v>
      </c>
      <c r="P132" s="67">
        <v>3</v>
      </c>
      <c r="Q132" s="80">
        <v>26.812000000000001</v>
      </c>
      <c r="R132" s="69">
        <v>3</v>
      </c>
    </row>
    <row r="133" spans="2:18" ht="17" x14ac:dyDescent="0.2">
      <c r="B133" s="66" t="s">
        <v>873</v>
      </c>
      <c r="C133" s="67" t="s">
        <v>892</v>
      </c>
      <c r="D133" s="66">
        <v>30</v>
      </c>
      <c r="E133" s="81">
        <v>969.46400000000006</v>
      </c>
      <c r="F133" s="211">
        <v>8</v>
      </c>
      <c r="G133" s="67">
        <v>1</v>
      </c>
      <c r="H133" s="123" t="s">
        <v>767</v>
      </c>
      <c r="I133" s="80">
        <v>167.345</v>
      </c>
      <c r="J133" s="67">
        <v>7</v>
      </c>
      <c r="K133" s="80">
        <v>167.345</v>
      </c>
      <c r="L133" s="69">
        <v>7</v>
      </c>
      <c r="M133" s="67">
        <v>0</v>
      </c>
      <c r="N133" s="411" t="s">
        <v>23</v>
      </c>
      <c r="O133" s="67" t="s">
        <v>23</v>
      </c>
      <c r="P133" s="67" t="s">
        <v>23</v>
      </c>
      <c r="Q133" s="67" t="s">
        <v>23</v>
      </c>
      <c r="R133" s="69" t="s">
        <v>23</v>
      </c>
    </row>
    <row r="134" spans="2:18" x14ac:dyDescent="0.2">
      <c r="B134" s="66" t="s">
        <v>874</v>
      </c>
      <c r="C134" s="67" t="s">
        <v>893</v>
      </c>
      <c r="D134" s="66">
        <v>88</v>
      </c>
      <c r="E134" s="81">
        <v>973.38</v>
      </c>
      <c r="F134" s="211">
        <v>37</v>
      </c>
      <c r="G134" s="67">
        <v>1</v>
      </c>
      <c r="H134" s="123" t="s">
        <v>821</v>
      </c>
      <c r="I134" s="80">
        <v>97.353999999999999</v>
      </c>
      <c r="J134" s="67">
        <v>11</v>
      </c>
      <c r="K134" s="80">
        <v>97.353999999999999</v>
      </c>
      <c r="L134" s="69">
        <v>11</v>
      </c>
      <c r="M134" s="67">
        <v>1</v>
      </c>
      <c r="N134" s="123" t="s">
        <v>821</v>
      </c>
      <c r="O134" s="80">
        <v>97.353999999999999</v>
      </c>
      <c r="P134" s="67">
        <v>11</v>
      </c>
      <c r="Q134" s="80">
        <v>97.353999999999999</v>
      </c>
      <c r="R134" s="69">
        <v>11</v>
      </c>
    </row>
    <row r="135" spans="2:18" x14ac:dyDescent="0.2">
      <c r="B135" s="75" t="s">
        <v>875</v>
      </c>
      <c r="C135" s="77" t="s">
        <v>894</v>
      </c>
      <c r="D135" s="75">
        <v>53</v>
      </c>
      <c r="E135" s="122">
        <v>995.77800000000002</v>
      </c>
      <c r="F135" s="188">
        <v>24</v>
      </c>
      <c r="G135" s="77">
        <v>1</v>
      </c>
      <c r="H135" s="126" t="s">
        <v>827</v>
      </c>
      <c r="I135" s="114">
        <v>121.39</v>
      </c>
      <c r="J135" s="77">
        <v>4</v>
      </c>
      <c r="K135" s="114">
        <v>121.39</v>
      </c>
      <c r="L135" s="79">
        <v>4</v>
      </c>
      <c r="M135" s="77">
        <v>1</v>
      </c>
      <c r="N135" s="126" t="s">
        <v>827</v>
      </c>
      <c r="O135" s="114">
        <v>121.39</v>
      </c>
      <c r="P135" s="77">
        <v>4</v>
      </c>
      <c r="Q135" s="114">
        <v>121.39</v>
      </c>
      <c r="R135" s="79">
        <v>4</v>
      </c>
    </row>
  </sheetData>
  <mergeCells count="8">
    <mergeCell ref="G12:L12"/>
    <mergeCell ref="H13:H14"/>
    <mergeCell ref="M12:R12"/>
    <mergeCell ref="N13:N14"/>
    <mergeCell ref="N127:N128"/>
    <mergeCell ref="H127:H128"/>
    <mergeCell ref="G126:L126"/>
    <mergeCell ref="M126:R12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6580-3666-2F4F-A17E-93694E264A84}">
  <dimension ref="B2:F52"/>
  <sheetViews>
    <sheetView zoomScaleNormal="100" workbookViewId="0"/>
  </sheetViews>
  <sheetFormatPr baseColWidth="10" defaultColWidth="11" defaultRowHeight="16" x14ac:dyDescent="0.2"/>
  <cols>
    <col min="1" max="1" width="4" customWidth="1"/>
    <col min="2" max="2" width="72.83203125" customWidth="1"/>
    <col min="3" max="4" width="17.83203125" customWidth="1"/>
  </cols>
  <sheetData>
    <row r="2" spans="2:6" x14ac:dyDescent="0.2">
      <c r="B2" s="25" t="s">
        <v>2918</v>
      </c>
    </row>
    <row r="3" spans="2:6" x14ac:dyDescent="0.2">
      <c r="B3" t="s">
        <v>915</v>
      </c>
    </row>
    <row r="4" spans="2:6" ht="19" x14ac:dyDescent="0.2">
      <c r="B4" t="s">
        <v>2810</v>
      </c>
    </row>
    <row r="6" spans="2:6" x14ac:dyDescent="0.2">
      <c r="B6" t="s">
        <v>910</v>
      </c>
    </row>
    <row r="8" spans="2:6" ht="19" x14ac:dyDescent="0.2">
      <c r="B8" s="148" t="s">
        <v>909</v>
      </c>
      <c r="C8" s="149" t="s">
        <v>2809</v>
      </c>
      <c r="D8" s="150" t="s">
        <v>912</v>
      </c>
    </row>
    <row r="9" spans="2:6" x14ac:dyDescent="0.2">
      <c r="B9" s="142" t="s">
        <v>923</v>
      </c>
      <c r="C9" s="141">
        <v>4.2000000000000002E-16</v>
      </c>
      <c r="D9" s="143" t="s">
        <v>913</v>
      </c>
      <c r="F9" s="141"/>
    </row>
    <row r="10" spans="2:6" x14ac:dyDescent="0.2">
      <c r="B10" s="142" t="s">
        <v>924</v>
      </c>
      <c r="C10" s="141">
        <v>1.7E-15</v>
      </c>
      <c r="D10" s="143" t="s">
        <v>913</v>
      </c>
      <c r="F10" s="141"/>
    </row>
    <row r="11" spans="2:6" x14ac:dyDescent="0.2">
      <c r="B11" s="142" t="s">
        <v>925</v>
      </c>
      <c r="C11" s="141">
        <v>1.1999999999999999E-14</v>
      </c>
      <c r="D11" s="143" t="s">
        <v>913</v>
      </c>
      <c r="F11" s="141"/>
    </row>
    <row r="12" spans="2:6" x14ac:dyDescent="0.2">
      <c r="B12" s="142" t="s">
        <v>926</v>
      </c>
      <c r="C12" s="141">
        <v>1.1999999999999999E-13</v>
      </c>
      <c r="D12" s="143" t="s">
        <v>913</v>
      </c>
      <c r="F12" s="141"/>
    </row>
    <row r="13" spans="2:6" x14ac:dyDescent="0.2">
      <c r="B13" s="142" t="s">
        <v>927</v>
      </c>
      <c r="C13" s="141">
        <v>1.7999999999999999E-13</v>
      </c>
      <c r="D13" s="143" t="s">
        <v>913</v>
      </c>
      <c r="F13" s="141"/>
    </row>
    <row r="14" spans="2:6" x14ac:dyDescent="0.2">
      <c r="B14" s="142" t="s">
        <v>928</v>
      </c>
      <c r="C14" s="141">
        <v>2.0000000000000001E-13</v>
      </c>
      <c r="D14" s="143" t="s">
        <v>913</v>
      </c>
      <c r="F14" s="141"/>
    </row>
    <row r="15" spans="2:6" x14ac:dyDescent="0.2">
      <c r="B15" s="142" t="s">
        <v>929</v>
      </c>
      <c r="C15" s="141">
        <v>2.2E-13</v>
      </c>
      <c r="D15" s="143" t="s">
        <v>913</v>
      </c>
      <c r="F15" s="141"/>
    </row>
    <row r="16" spans="2:6" x14ac:dyDescent="0.2">
      <c r="B16" s="142" t="s">
        <v>930</v>
      </c>
      <c r="C16" s="141">
        <v>2.2E-13</v>
      </c>
      <c r="D16" s="143" t="s">
        <v>913</v>
      </c>
      <c r="F16" s="141"/>
    </row>
    <row r="17" spans="2:6" x14ac:dyDescent="0.2">
      <c r="B17" s="142" t="s">
        <v>931</v>
      </c>
      <c r="C17" s="141">
        <v>2.4999999999999999E-13</v>
      </c>
      <c r="D17" s="143" t="s">
        <v>913</v>
      </c>
      <c r="F17" s="141"/>
    </row>
    <row r="18" spans="2:6" x14ac:dyDescent="0.2">
      <c r="B18" s="142" t="s">
        <v>932</v>
      </c>
      <c r="C18" s="141">
        <v>3.4000000000000002E-13</v>
      </c>
      <c r="D18" s="143" t="s">
        <v>913</v>
      </c>
      <c r="F18" s="141"/>
    </row>
    <row r="19" spans="2:6" x14ac:dyDescent="0.2">
      <c r="B19" s="142" t="s">
        <v>933</v>
      </c>
      <c r="C19" s="141">
        <v>4.0000000000000001E-13</v>
      </c>
      <c r="D19" s="143" t="s">
        <v>913</v>
      </c>
      <c r="F19" s="141"/>
    </row>
    <row r="20" spans="2:6" x14ac:dyDescent="0.2">
      <c r="B20" s="142" t="s">
        <v>934</v>
      </c>
      <c r="C20" s="141">
        <v>5.4999999999999998E-13</v>
      </c>
      <c r="D20" s="143" t="s">
        <v>913</v>
      </c>
      <c r="F20" s="141"/>
    </row>
    <row r="21" spans="2:6" x14ac:dyDescent="0.2">
      <c r="B21" s="142" t="s">
        <v>935</v>
      </c>
      <c r="C21" s="141">
        <v>8.7000000000000003E-13</v>
      </c>
      <c r="D21" s="143" t="s">
        <v>913</v>
      </c>
      <c r="F21" s="141"/>
    </row>
    <row r="22" spans="2:6" x14ac:dyDescent="0.2">
      <c r="B22" s="142" t="s">
        <v>936</v>
      </c>
      <c r="C22" s="141">
        <v>9.9999999999999998E-13</v>
      </c>
      <c r="D22" s="143" t="s">
        <v>913</v>
      </c>
      <c r="F22" s="141"/>
    </row>
    <row r="23" spans="2:6" x14ac:dyDescent="0.2">
      <c r="B23" s="142" t="s">
        <v>937</v>
      </c>
      <c r="C23" s="141">
        <v>1.1E-12</v>
      </c>
      <c r="D23" s="143" t="s">
        <v>913</v>
      </c>
      <c r="F23" s="141"/>
    </row>
    <row r="24" spans="2:6" x14ac:dyDescent="0.2">
      <c r="B24" s="142" t="s">
        <v>938</v>
      </c>
      <c r="C24" s="141">
        <v>1.7E-12</v>
      </c>
      <c r="D24" s="143" t="s">
        <v>913</v>
      </c>
      <c r="F24" s="141"/>
    </row>
    <row r="25" spans="2:6" x14ac:dyDescent="0.2">
      <c r="B25" s="142" t="s">
        <v>939</v>
      </c>
      <c r="C25" s="141">
        <v>1.9E-12</v>
      </c>
      <c r="D25" s="143" t="s">
        <v>913</v>
      </c>
      <c r="F25" s="141"/>
    </row>
    <row r="26" spans="2:6" x14ac:dyDescent="0.2">
      <c r="B26" s="142" t="s">
        <v>940</v>
      </c>
      <c r="C26" s="141">
        <v>3.0000000000000001E-12</v>
      </c>
      <c r="D26" s="143" t="s">
        <v>913</v>
      </c>
      <c r="F26" s="141"/>
    </row>
    <row r="27" spans="2:6" x14ac:dyDescent="0.2">
      <c r="B27" s="142" t="s">
        <v>941</v>
      </c>
      <c r="C27" s="141">
        <v>3.5E-12</v>
      </c>
      <c r="D27" s="143" t="s">
        <v>914</v>
      </c>
      <c r="F27" s="141"/>
    </row>
    <row r="28" spans="2:6" x14ac:dyDescent="0.2">
      <c r="B28" s="144" t="s">
        <v>942</v>
      </c>
      <c r="C28" s="147">
        <v>4.5999999999999998E-12</v>
      </c>
      <c r="D28" s="145" t="s">
        <v>913</v>
      </c>
      <c r="F28" s="141"/>
    </row>
    <row r="30" spans="2:6" x14ac:dyDescent="0.2">
      <c r="B30" t="s">
        <v>911</v>
      </c>
    </row>
    <row r="32" spans="2:6" ht="19" x14ac:dyDescent="0.2">
      <c r="B32" s="148" t="s">
        <v>909</v>
      </c>
      <c r="C32" s="154" t="s">
        <v>2809</v>
      </c>
      <c r="D32" s="155" t="s">
        <v>912</v>
      </c>
    </row>
    <row r="33" spans="2:4" x14ac:dyDescent="0.2">
      <c r="B33" s="142" t="s">
        <v>919</v>
      </c>
      <c r="C33" s="151">
        <v>5.5300000000000004E-6</v>
      </c>
      <c r="D33" s="152" t="s">
        <v>916</v>
      </c>
    </row>
    <row r="34" spans="2:4" x14ac:dyDescent="0.2">
      <c r="B34" s="142" t="s">
        <v>943</v>
      </c>
      <c r="C34" s="151">
        <v>1.7799999999999999E-5</v>
      </c>
      <c r="D34" s="152" t="s">
        <v>917</v>
      </c>
    </row>
    <row r="35" spans="2:4" x14ac:dyDescent="0.2">
      <c r="B35" s="142" t="s">
        <v>944</v>
      </c>
      <c r="C35" s="151">
        <v>3.8000000000000002E-5</v>
      </c>
      <c r="D35" s="152" t="s">
        <v>917</v>
      </c>
    </row>
    <row r="36" spans="2:4" x14ac:dyDescent="0.2">
      <c r="B36" s="142" t="s">
        <v>945</v>
      </c>
      <c r="C36" s="151">
        <v>4.8900000000000003E-5</v>
      </c>
      <c r="D36" s="152" t="s">
        <v>913</v>
      </c>
    </row>
    <row r="37" spans="2:4" x14ac:dyDescent="0.2">
      <c r="B37" s="142" t="s">
        <v>946</v>
      </c>
      <c r="C37" s="151">
        <v>5.2800000000000003E-5</v>
      </c>
      <c r="D37" s="152" t="s">
        <v>913</v>
      </c>
    </row>
    <row r="38" spans="2:4" x14ac:dyDescent="0.2">
      <c r="B38" s="142" t="s">
        <v>947</v>
      </c>
      <c r="C38" s="151">
        <v>7.0699999999999997E-5</v>
      </c>
      <c r="D38" s="152" t="s">
        <v>913</v>
      </c>
    </row>
    <row r="39" spans="2:4" x14ac:dyDescent="0.2">
      <c r="B39" s="142" t="s">
        <v>920</v>
      </c>
      <c r="C39" s="151">
        <v>7.2799999999999994E-5</v>
      </c>
      <c r="D39" s="152" t="s">
        <v>916</v>
      </c>
    </row>
    <row r="40" spans="2:4" x14ac:dyDescent="0.2">
      <c r="B40" s="142" t="s">
        <v>948</v>
      </c>
      <c r="C40" s="151">
        <v>7.8100000000000001E-5</v>
      </c>
      <c r="D40" s="152" t="s">
        <v>917</v>
      </c>
    </row>
    <row r="41" spans="2:4" x14ac:dyDescent="0.2">
      <c r="B41" s="142" t="s">
        <v>949</v>
      </c>
      <c r="C41" s="151">
        <v>8.1500000000000002E-5</v>
      </c>
      <c r="D41" s="152" t="s">
        <v>913</v>
      </c>
    </row>
    <row r="42" spans="2:4" x14ac:dyDescent="0.2">
      <c r="B42" s="142" t="s">
        <v>921</v>
      </c>
      <c r="C42" s="151">
        <v>8.2899999999999996E-5</v>
      </c>
      <c r="D42" s="152" t="s">
        <v>916</v>
      </c>
    </row>
    <row r="43" spans="2:4" x14ac:dyDescent="0.2">
      <c r="B43" s="142" t="s">
        <v>950</v>
      </c>
      <c r="C43" s="151">
        <v>8.3599999999999999E-5</v>
      </c>
      <c r="D43" s="152" t="s">
        <v>914</v>
      </c>
    </row>
    <row r="44" spans="2:4" x14ac:dyDescent="0.2">
      <c r="B44" s="142" t="s">
        <v>951</v>
      </c>
      <c r="C44" s="151">
        <v>9.0000000000000006E-5</v>
      </c>
      <c r="D44" s="152" t="s">
        <v>917</v>
      </c>
    </row>
    <row r="45" spans="2:4" x14ac:dyDescent="0.2">
      <c r="B45" s="142" t="s">
        <v>922</v>
      </c>
      <c r="C45" s="151">
        <v>9.6199999999999994E-5</v>
      </c>
      <c r="D45" s="152" t="s">
        <v>916</v>
      </c>
    </row>
    <row r="46" spans="2:4" x14ac:dyDescent="0.2">
      <c r="B46" s="142" t="s">
        <v>952</v>
      </c>
      <c r="C46" s="31">
        <v>1.0775E-4</v>
      </c>
      <c r="D46" s="32" t="s">
        <v>918</v>
      </c>
    </row>
    <row r="47" spans="2:4" x14ac:dyDescent="0.2">
      <c r="B47" s="142" t="s">
        <v>953</v>
      </c>
      <c r="C47" s="31">
        <v>1.1998E-4</v>
      </c>
      <c r="D47" s="32" t="s">
        <v>914</v>
      </c>
    </row>
    <row r="48" spans="2:4" x14ac:dyDescent="0.2">
      <c r="B48" s="142" t="s">
        <v>954</v>
      </c>
      <c r="C48" s="31">
        <v>1.2224999999999999E-4</v>
      </c>
      <c r="D48" s="32" t="s">
        <v>913</v>
      </c>
    </row>
    <row r="49" spans="2:4" x14ac:dyDescent="0.2">
      <c r="B49" s="142" t="s">
        <v>955</v>
      </c>
      <c r="C49" s="31">
        <v>1.2591999999999999E-4</v>
      </c>
      <c r="D49" s="32" t="s">
        <v>913</v>
      </c>
    </row>
    <row r="50" spans="2:4" x14ac:dyDescent="0.2">
      <c r="B50" s="142" t="s">
        <v>956</v>
      </c>
      <c r="C50" s="31">
        <v>1.3652E-4</v>
      </c>
      <c r="D50" s="32" t="s">
        <v>917</v>
      </c>
    </row>
    <row r="51" spans="2:4" x14ac:dyDescent="0.2">
      <c r="B51" s="142" t="s">
        <v>957</v>
      </c>
      <c r="C51" s="31">
        <v>1.4514000000000001E-4</v>
      </c>
      <c r="D51" s="32" t="s">
        <v>914</v>
      </c>
    </row>
    <row r="52" spans="2:4" x14ac:dyDescent="0.2">
      <c r="B52" s="144" t="s">
        <v>958</v>
      </c>
      <c r="C52" s="40">
        <v>1.5812000000000001E-4</v>
      </c>
      <c r="D52" s="153" t="s">
        <v>913</v>
      </c>
    </row>
  </sheetData>
  <pageMargins left="0.7" right="0.7" top="0.75" bottom="0.75" header="0.3" footer="0.3"/>
  <pageSetup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8B544-F10F-0E49-937F-1FE1EC66B03A}">
  <dimension ref="A2:H53"/>
  <sheetViews>
    <sheetView workbookViewId="0"/>
  </sheetViews>
  <sheetFormatPr baseColWidth="10" defaultRowHeight="16" x14ac:dyDescent="0.2"/>
  <cols>
    <col min="1" max="1" width="4" customWidth="1"/>
    <col min="3" max="3" width="51.33203125" customWidth="1"/>
    <col min="4" max="4" width="13.5" customWidth="1"/>
    <col min="8" max="8" width="50.33203125" customWidth="1"/>
  </cols>
  <sheetData>
    <row r="2" spans="1:8" x14ac:dyDescent="0.2">
      <c r="B2" s="25" t="s">
        <v>2919</v>
      </c>
    </row>
    <row r="3" spans="1:8" ht="18" x14ac:dyDescent="0.25">
      <c r="B3" s="24" t="s">
        <v>2811</v>
      </c>
    </row>
    <row r="6" spans="1:8" x14ac:dyDescent="0.2">
      <c r="B6" s="25" t="s">
        <v>2487</v>
      </c>
      <c r="C6" t="s">
        <v>2496</v>
      </c>
    </row>
    <row r="8" spans="1:8" ht="18" x14ac:dyDescent="0.2">
      <c r="A8" s="146"/>
      <c r="B8" s="247" t="s">
        <v>2454</v>
      </c>
      <c r="C8" s="509" t="s">
        <v>2455</v>
      </c>
      <c r="D8" s="247" t="s">
        <v>2456</v>
      </c>
      <c r="E8" s="247" t="s">
        <v>2457</v>
      </c>
      <c r="F8" s="247" t="s">
        <v>2486</v>
      </c>
      <c r="G8" s="247" t="s">
        <v>2458</v>
      </c>
      <c r="H8" s="46" t="s">
        <v>2459</v>
      </c>
    </row>
    <row r="9" spans="1:8" ht="17" x14ac:dyDescent="0.2">
      <c r="A9" s="146"/>
      <c r="B9" s="31">
        <v>1</v>
      </c>
      <c r="C9" s="506" t="s">
        <v>2460</v>
      </c>
      <c r="D9" s="31">
        <v>599</v>
      </c>
      <c r="E9" s="31">
        <v>3</v>
      </c>
      <c r="F9" s="507">
        <v>1.16355034374631E-3</v>
      </c>
      <c r="G9" s="31">
        <v>1</v>
      </c>
      <c r="H9" s="38" t="s">
        <v>2441</v>
      </c>
    </row>
    <row r="10" spans="1:8" ht="17" x14ac:dyDescent="0.2">
      <c r="A10" s="146"/>
      <c r="B10" s="31">
        <v>2</v>
      </c>
      <c r="C10" s="506" t="s">
        <v>2461</v>
      </c>
      <c r="D10" s="31">
        <v>79</v>
      </c>
      <c r="E10" s="31">
        <v>2</v>
      </c>
      <c r="F10" s="507">
        <v>4.6434318182207002E-4</v>
      </c>
      <c r="G10" s="31">
        <v>1</v>
      </c>
      <c r="H10" s="38" t="s">
        <v>2445</v>
      </c>
    </row>
    <row r="11" spans="1:8" ht="17" x14ac:dyDescent="0.2">
      <c r="A11" s="146"/>
      <c r="B11" s="31">
        <v>3</v>
      </c>
      <c r="C11" s="506" t="s">
        <v>2462</v>
      </c>
      <c r="D11" s="31">
        <v>85</v>
      </c>
      <c r="E11" s="31">
        <v>2</v>
      </c>
      <c r="F11" s="507">
        <v>5.37553640066419E-4</v>
      </c>
      <c r="G11" s="31">
        <v>1</v>
      </c>
      <c r="H11" s="38" t="s">
        <v>2450</v>
      </c>
    </row>
    <row r="12" spans="1:8" ht="17" x14ac:dyDescent="0.2">
      <c r="A12" s="146"/>
      <c r="B12" s="31">
        <v>4</v>
      </c>
      <c r="C12" s="506" t="s">
        <v>2463</v>
      </c>
      <c r="D12" s="31">
        <v>108</v>
      </c>
      <c r="E12" s="31">
        <v>2</v>
      </c>
      <c r="F12" s="507">
        <v>8.6700215830883898E-4</v>
      </c>
      <c r="G12" s="31">
        <v>1</v>
      </c>
      <c r="H12" s="38" t="s">
        <v>2452</v>
      </c>
    </row>
    <row r="13" spans="1:8" ht="17" x14ac:dyDescent="0.2">
      <c r="A13" s="146"/>
      <c r="B13" s="31">
        <v>5</v>
      </c>
      <c r="C13" s="506" t="s">
        <v>2464</v>
      </c>
      <c r="D13" s="31">
        <v>133</v>
      </c>
      <c r="E13" s="31">
        <v>2</v>
      </c>
      <c r="F13" s="507">
        <v>1.3121795801030599E-3</v>
      </c>
      <c r="G13" s="31">
        <v>1</v>
      </c>
      <c r="H13" s="38" t="s">
        <v>2445</v>
      </c>
    </row>
    <row r="14" spans="1:8" x14ac:dyDescent="0.2">
      <c r="A14" s="146"/>
      <c r="B14" s="31"/>
      <c r="C14" s="506"/>
      <c r="D14" s="31"/>
      <c r="E14" s="31"/>
      <c r="F14" s="507"/>
      <c r="G14" s="31"/>
      <c r="H14" s="38"/>
    </row>
    <row r="15" spans="1:8" x14ac:dyDescent="0.2">
      <c r="A15" s="146"/>
      <c r="B15" s="31"/>
      <c r="C15" s="506"/>
      <c r="D15" s="31"/>
      <c r="E15" s="31"/>
      <c r="F15" s="507"/>
      <c r="G15" s="31"/>
      <c r="H15" s="38"/>
    </row>
    <row r="16" spans="1:8" ht="17" x14ac:dyDescent="0.2">
      <c r="A16" s="146"/>
      <c r="B16" s="25" t="s">
        <v>2488</v>
      </c>
      <c r="C16" s="506" t="s">
        <v>2495</v>
      </c>
      <c r="D16" s="31"/>
      <c r="E16" s="31"/>
      <c r="F16" s="507"/>
      <c r="G16" s="31"/>
      <c r="H16" s="38"/>
    </row>
    <row r="17" spans="1:8" x14ac:dyDescent="0.2">
      <c r="A17" s="146"/>
      <c r="B17" s="31"/>
      <c r="C17" s="506"/>
      <c r="D17" s="31"/>
      <c r="E17" s="31"/>
      <c r="F17" s="507"/>
      <c r="G17" s="31"/>
      <c r="H17" s="38"/>
    </row>
    <row r="18" spans="1:8" ht="18" x14ac:dyDescent="0.2">
      <c r="A18" s="146"/>
      <c r="B18" s="247" t="s">
        <v>2454</v>
      </c>
      <c r="C18" s="509" t="s">
        <v>2455</v>
      </c>
      <c r="D18" s="247" t="s">
        <v>2456</v>
      </c>
      <c r="E18" s="247" t="s">
        <v>2457</v>
      </c>
      <c r="F18" s="247" t="s">
        <v>2486</v>
      </c>
      <c r="G18" s="247" t="s">
        <v>2458</v>
      </c>
      <c r="H18" s="46" t="s">
        <v>2459</v>
      </c>
    </row>
    <row r="19" spans="1:8" ht="17" x14ac:dyDescent="0.2">
      <c r="A19" s="146"/>
      <c r="B19" s="31">
        <v>1</v>
      </c>
      <c r="C19" s="506" t="s">
        <v>2465</v>
      </c>
      <c r="D19" s="31">
        <v>479</v>
      </c>
      <c r="E19" s="31">
        <v>6</v>
      </c>
      <c r="F19" s="507">
        <v>1.10196063107994E-3</v>
      </c>
      <c r="G19" s="31">
        <v>1</v>
      </c>
      <c r="H19" s="38" t="s">
        <v>2442</v>
      </c>
    </row>
    <row r="20" spans="1:8" ht="34" x14ac:dyDescent="0.2">
      <c r="A20" s="146"/>
      <c r="B20" s="31">
        <v>2</v>
      </c>
      <c r="C20" s="506" t="s">
        <v>2466</v>
      </c>
      <c r="D20" s="31">
        <v>796</v>
      </c>
      <c r="E20" s="31">
        <v>6</v>
      </c>
      <c r="F20" s="507">
        <v>1.36778667084689E-2</v>
      </c>
      <c r="G20" s="31">
        <v>1</v>
      </c>
      <c r="H20" s="38" t="s">
        <v>2446</v>
      </c>
    </row>
    <row r="21" spans="1:8" ht="17" x14ac:dyDescent="0.2">
      <c r="A21" s="146"/>
      <c r="B21" s="31">
        <v>3</v>
      </c>
      <c r="C21" s="506" t="s">
        <v>2467</v>
      </c>
      <c r="D21" s="31">
        <v>827</v>
      </c>
      <c r="E21" s="31">
        <v>6</v>
      </c>
      <c r="F21" s="507">
        <v>1.6318806523887799E-2</v>
      </c>
      <c r="G21" s="31">
        <v>1</v>
      </c>
      <c r="H21" s="38" t="s">
        <v>2451</v>
      </c>
    </row>
    <row r="22" spans="1:8" ht="17" x14ac:dyDescent="0.2">
      <c r="A22" s="146"/>
      <c r="B22" s="31">
        <v>4</v>
      </c>
      <c r="C22" s="506" t="s">
        <v>2468</v>
      </c>
      <c r="D22" s="31">
        <v>854</v>
      </c>
      <c r="E22" s="31">
        <v>6</v>
      </c>
      <c r="F22" s="507">
        <v>1.8898375333387198E-2</v>
      </c>
      <c r="G22" s="31">
        <v>1</v>
      </c>
      <c r="H22" s="38" t="s">
        <v>2442</v>
      </c>
    </row>
    <row r="23" spans="1:8" ht="17" x14ac:dyDescent="0.2">
      <c r="A23" s="146"/>
      <c r="B23" s="31">
        <v>5</v>
      </c>
      <c r="C23" s="506" t="s">
        <v>2483</v>
      </c>
      <c r="D23" s="31">
        <v>919</v>
      </c>
      <c r="E23" s="31">
        <v>6</v>
      </c>
      <c r="F23" s="507">
        <v>2.6260919802061099E-2</v>
      </c>
      <c r="G23" s="31">
        <v>1</v>
      </c>
      <c r="H23" s="38" t="s">
        <v>2442</v>
      </c>
    </row>
    <row r="24" spans="1:8" x14ac:dyDescent="0.2">
      <c r="A24" s="146"/>
      <c r="B24" s="31"/>
      <c r="C24" s="506"/>
      <c r="D24" s="31"/>
      <c r="E24" s="31"/>
      <c r="F24" s="507"/>
      <c r="G24" s="31"/>
      <c r="H24" s="38"/>
    </row>
    <row r="25" spans="1:8" x14ac:dyDescent="0.2">
      <c r="A25" s="146"/>
      <c r="B25" s="31"/>
      <c r="C25" s="506"/>
      <c r="D25" s="31"/>
      <c r="E25" s="31"/>
      <c r="F25" s="507"/>
      <c r="G25" s="31"/>
      <c r="H25" s="38"/>
    </row>
    <row r="26" spans="1:8" ht="17" x14ac:dyDescent="0.2">
      <c r="A26" s="146"/>
      <c r="B26" s="25" t="s">
        <v>2489</v>
      </c>
      <c r="C26" s="506" t="s">
        <v>2494</v>
      </c>
      <c r="D26" s="31"/>
      <c r="E26" s="31"/>
      <c r="F26" s="507"/>
      <c r="G26" s="31"/>
      <c r="H26" s="38"/>
    </row>
    <row r="27" spans="1:8" x14ac:dyDescent="0.2">
      <c r="A27" s="146"/>
      <c r="B27" s="31"/>
      <c r="C27" s="506"/>
      <c r="D27" s="31"/>
      <c r="E27" s="31"/>
      <c r="F27" s="507"/>
      <c r="G27" s="31"/>
      <c r="H27" s="38"/>
    </row>
    <row r="28" spans="1:8" ht="18" x14ac:dyDescent="0.2">
      <c r="A28" s="146"/>
      <c r="B28" s="247" t="s">
        <v>2454</v>
      </c>
      <c r="C28" s="509" t="s">
        <v>2455</v>
      </c>
      <c r="D28" s="247" t="s">
        <v>2456</v>
      </c>
      <c r="E28" s="247" t="s">
        <v>2457</v>
      </c>
      <c r="F28" s="247" t="s">
        <v>2486</v>
      </c>
      <c r="G28" s="247" t="s">
        <v>2458</v>
      </c>
      <c r="H28" s="46" t="s">
        <v>2459</v>
      </c>
    </row>
    <row r="29" spans="1:8" ht="17" x14ac:dyDescent="0.2">
      <c r="A29" s="146"/>
      <c r="B29" s="31">
        <v>1</v>
      </c>
      <c r="C29" s="506" t="s">
        <v>2467</v>
      </c>
      <c r="D29" s="31">
        <v>827</v>
      </c>
      <c r="E29" s="31">
        <v>4</v>
      </c>
      <c r="F29" s="507">
        <v>2.0843602132811102E-3</v>
      </c>
      <c r="G29" s="31">
        <v>1</v>
      </c>
      <c r="H29" s="38" t="s">
        <v>2443</v>
      </c>
    </row>
    <row r="30" spans="1:8" ht="17" x14ac:dyDescent="0.2">
      <c r="A30" s="146"/>
      <c r="B30" s="31">
        <v>2</v>
      </c>
      <c r="C30" s="506" t="s">
        <v>2469</v>
      </c>
      <c r="D30" s="31">
        <v>394</v>
      </c>
      <c r="E30" s="31">
        <v>3</v>
      </c>
      <c r="F30" s="507">
        <v>2.6614065163521302E-3</v>
      </c>
      <c r="G30" s="31">
        <v>1</v>
      </c>
      <c r="H30" s="38" t="s">
        <v>2447</v>
      </c>
    </row>
    <row r="31" spans="1:8" ht="17" x14ac:dyDescent="0.2">
      <c r="A31" s="146"/>
      <c r="B31" s="31">
        <v>3</v>
      </c>
      <c r="C31" s="506" t="s">
        <v>2470</v>
      </c>
      <c r="D31" s="31">
        <v>531</v>
      </c>
      <c r="E31" s="31">
        <v>3</v>
      </c>
      <c r="F31" s="507">
        <v>6.2229717244095999E-3</v>
      </c>
      <c r="G31" s="31">
        <v>1</v>
      </c>
      <c r="H31" s="38" t="s">
        <v>2447</v>
      </c>
    </row>
    <row r="32" spans="1:8" ht="17" x14ac:dyDescent="0.2">
      <c r="A32" s="146"/>
      <c r="B32" s="31">
        <v>4</v>
      </c>
      <c r="C32" s="506" t="s">
        <v>2471</v>
      </c>
      <c r="D32" s="31">
        <v>538</v>
      </c>
      <c r="E32" s="31">
        <v>3</v>
      </c>
      <c r="F32" s="507">
        <v>6.4569432647456296E-3</v>
      </c>
      <c r="G32" s="31">
        <v>1</v>
      </c>
      <c r="H32" s="38" t="s">
        <v>2447</v>
      </c>
    </row>
    <row r="33" spans="1:8" ht="17" x14ac:dyDescent="0.2">
      <c r="A33" s="146"/>
      <c r="B33" s="31">
        <v>5</v>
      </c>
      <c r="C33" s="506" t="s">
        <v>2472</v>
      </c>
      <c r="D33" s="31">
        <v>716</v>
      </c>
      <c r="E33" s="31">
        <v>3</v>
      </c>
      <c r="F33" s="507">
        <v>1.43133736476398E-2</v>
      </c>
      <c r="G33" s="31">
        <v>1</v>
      </c>
      <c r="H33" s="38" t="s">
        <v>2453</v>
      </c>
    </row>
    <row r="34" spans="1:8" x14ac:dyDescent="0.2">
      <c r="A34" s="146"/>
      <c r="B34" s="31"/>
      <c r="C34" s="506"/>
      <c r="D34" s="31"/>
      <c r="E34" s="31"/>
      <c r="F34" s="507"/>
      <c r="G34" s="31"/>
      <c r="H34" s="38"/>
    </row>
    <row r="35" spans="1:8" x14ac:dyDescent="0.2">
      <c r="A35" s="146"/>
      <c r="B35" s="31"/>
      <c r="C35" s="506"/>
      <c r="D35" s="31"/>
      <c r="E35" s="31"/>
      <c r="F35" s="507"/>
      <c r="G35" s="31"/>
      <c r="H35" s="38"/>
    </row>
    <row r="36" spans="1:8" x14ac:dyDescent="0.2">
      <c r="A36" s="146"/>
      <c r="B36" s="25" t="s">
        <v>2490</v>
      </c>
      <c r="C36" s="38" t="s">
        <v>2493</v>
      </c>
      <c r="D36" s="31"/>
      <c r="E36" s="31"/>
      <c r="F36" s="507"/>
      <c r="G36" s="31"/>
      <c r="H36" s="38"/>
    </row>
    <row r="37" spans="1:8" x14ac:dyDescent="0.2">
      <c r="A37" s="146"/>
      <c r="B37" s="31"/>
      <c r="C37" s="506"/>
      <c r="D37" s="31"/>
      <c r="E37" s="31"/>
      <c r="F37" s="507"/>
      <c r="G37" s="31"/>
      <c r="H37" s="38"/>
    </row>
    <row r="38" spans="1:8" ht="18" x14ac:dyDescent="0.2">
      <c r="A38" s="146"/>
      <c r="B38" s="247" t="s">
        <v>2454</v>
      </c>
      <c r="C38" s="509" t="s">
        <v>2455</v>
      </c>
      <c r="D38" s="247" t="s">
        <v>2456</v>
      </c>
      <c r="E38" s="247" t="s">
        <v>2457</v>
      </c>
      <c r="F38" s="247" t="s">
        <v>2486</v>
      </c>
      <c r="G38" s="247" t="s">
        <v>2458</v>
      </c>
      <c r="H38" s="46" t="s">
        <v>2459</v>
      </c>
    </row>
    <row r="39" spans="1:8" ht="17" x14ac:dyDescent="0.2">
      <c r="A39" s="146"/>
      <c r="B39" s="31">
        <v>1</v>
      </c>
      <c r="C39" s="506" t="s">
        <v>2473</v>
      </c>
      <c r="D39" s="31">
        <v>219</v>
      </c>
      <c r="E39" s="31">
        <v>5</v>
      </c>
      <c r="F39" s="507">
        <v>4.2520225340525603E-5</v>
      </c>
      <c r="G39" s="163">
        <v>0.54123994835955103</v>
      </c>
      <c r="H39" s="38" t="s">
        <v>2448</v>
      </c>
    </row>
    <row r="40" spans="1:8" ht="17" x14ac:dyDescent="0.2">
      <c r="A40" s="146"/>
      <c r="B40" s="31">
        <v>2</v>
      </c>
      <c r="C40" s="506" t="s">
        <v>2474</v>
      </c>
      <c r="D40" s="31">
        <v>324</v>
      </c>
      <c r="E40" s="31">
        <v>5</v>
      </c>
      <c r="F40" s="507">
        <v>2.7118963464254302E-4</v>
      </c>
      <c r="G40" s="508">
        <v>1</v>
      </c>
      <c r="H40" s="38" t="s">
        <v>2448</v>
      </c>
    </row>
    <row r="41" spans="1:8" ht="17" x14ac:dyDescent="0.2">
      <c r="A41" s="146"/>
      <c r="B41" s="31">
        <v>3</v>
      </c>
      <c r="C41" s="506" t="s">
        <v>2475</v>
      </c>
      <c r="D41" s="31">
        <v>532</v>
      </c>
      <c r="E41" s="31">
        <v>5</v>
      </c>
      <c r="F41" s="507">
        <v>2.5747572366230801E-3</v>
      </c>
      <c r="G41" s="508">
        <v>1</v>
      </c>
      <c r="H41" s="38" t="s">
        <v>2448</v>
      </c>
    </row>
    <row r="42" spans="1:8" ht="17" x14ac:dyDescent="0.2">
      <c r="A42" s="146"/>
      <c r="B42" s="31">
        <v>4</v>
      </c>
      <c r="C42" s="506" t="s">
        <v>2484</v>
      </c>
      <c r="D42" s="31">
        <v>278</v>
      </c>
      <c r="E42" s="31">
        <v>4</v>
      </c>
      <c r="F42" s="507">
        <v>1.6258823840389501E-3</v>
      </c>
      <c r="G42" s="508">
        <v>1</v>
      </c>
      <c r="H42" s="38" t="s">
        <v>2482</v>
      </c>
    </row>
    <row r="43" spans="1:8" ht="34" x14ac:dyDescent="0.2">
      <c r="A43" s="146"/>
      <c r="B43" s="31">
        <v>5</v>
      </c>
      <c r="C43" s="506" t="s">
        <v>2485</v>
      </c>
      <c r="D43" s="31">
        <v>538</v>
      </c>
      <c r="E43" s="31">
        <v>4</v>
      </c>
      <c r="F43" s="507">
        <v>1.6901185068488599E-2</v>
      </c>
      <c r="G43" s="508">
        <v>1</v>
      </c>
      <c r="H43" s="38" t="s">
        <v>2481</v>
      </c>
    </row>
    <row r="44" spans="1:8" x14ac:dyDescent="0.2">
      <c r="A44" s="146"/>
      <c r="B44" s="31"/>
      <c r="C44" s="506"/>
      <c r="D44" s="31"/>
      <c r="E44" s="31"/>
      <c r="F44" s="507"/>
      <c r="G44" s="163"/>
      <c r="H44" s="38"/>
    </row>
    <row r="45" spans="1:8" x14ac:dyDescent="0.2">
      <c r="A45" s="146"/>
      <c r="B45" s="31"/>
      <c r="C45" s="506"/>
      <c r="D45" s="31"/>
      <c r="E45" s="31"/>
      <c r="F45" s="507"/>
      <c r="G45" s="163"/>
      <c r="H45" s="38"/>
    </row>
    <row r="46" spans="1:8" ht="17" x14ac:dyDescent="0.2">
      <c r="A46" s="146"/>
      <c r="B46" s="25" t="s">
        <v>2491</v>
      </c>
      <c r="C46" s="506" t="s">
        <v>2492</v>
      </c>
      <c r="D46" s="31"/>
      <c r="E46" s="31"/>
      <c r="F46" s="507"/>
      <c r="G46" s="163"/>
      <c r="H46" s="38"/>
    </row>
    <row r="47" spans="1:8" x14ac:dyDescent="0.2">
      <c r="A47" s="146"/>
      <c r="B47" s="31"/>
      <c r="C47" s="506"/>
      <c r="D47" s="31"/>
      <c r="E47" s="31"/>
      <c r="F47" s="507"/>
      <c r="G47" s="163"/>
      <c r="H47" s="38"/>
    </row>
    <row r="48" spans="1:8" ht="18" x14ac:dyDescent="0.2">
      <c r="A48" s="146"/>
      <c r="B48" s="247" t="s">
        <v>2454</v>
      </c>
      <c r="C48" s="509" t="s">
        <v>2455</v>
      </c>
      <c r="D48" s="247" t="s">
        <v>2456</v>
      </c>
      <c r="E48" s="247" t="s">
        <v>2457</v>
      </c>
      <c r="F48" s="247" t="s">
        <v>2486</v>
      </c>
      <c r="G48" s="247" t="s">
        <v>2458</v>
      </c>
      <c r="H48" s="46" t="s">
        <v>2459</v>
      </c>
    </row>
    <row r="49" spans="1:8" ht="17" x14ac:dyDescent="0.2">
      <c r="A49" s="146"/>
      <c r="B49" s="31">
        <v>1</v>
      </c>
      <c r="C49" s="506" t="s">
        <v>2476</v>
      </c>
      <c r="D49" s="31">
        <v>840</v>
      </c>
      <c r="E49" s="31">
        <v>3</v>
      </c>
      <c r="F49" s="507">
        <v>7.3075105312373203E-3</v>
      </c>
      <c r="G49" s="508">
        <v>1</v>
      </c>
      <c r="H49" s="38" t="s">
        <v>2444</v>
      </c>
    </row>
    <row r="50" spans="1:8" ht="17" x14ac:dyDescent="0.2">
      <c r="A50" s="146"/>
      <c r="B50" s="31">
        <v>2</v>
      </c>
      <c r="C50" s="506" t="s">
        <v>2477</v>
      </c>
      <c r="D50" s="31">
        <v>22</v>
      </c>
      <c r="E50" s="31">
        <v>2</v>
      </c>
      <c r="F50" s="507">
        <v>5.84370260871565E-5</v>
      </c>
      <c r="G50" s="163">
        <v>0.74384490506341505</v>
      </c>
      <c r="H50" s="38" t="s">
        <v>2449</v>
      </c>
    </row>
    <row r="51" spans="1:8" ht="34" x14ac:dyDescent="0.2">
      <c r="A51" s="146"/>
      <c r="B51" s="31">
        <v>3</v>
      </c>
      <c r="C51" s="506" t="s">
        <v>2478</v>
      </c>
      <c r="D51" s="31">
        <v>35</v>
      </c>
      <c r="E51" s="31">
        <v>2</v>
      </c>
      <c r="F51" s="507">
        <v>1.5007835643368299E-4</v>
      </c>
      <c r="G51" s="163">
        <v>0.95517369952217202</v>
      </c>
      <c r="H51" s="38" t="s">
        <v>2449</v>
      </c>
    </row>
    <row r="52" spans="1:8" ht="17" x14ac:dyDescent="0.2">
      <c r="A52" s="146"/>
      <c r="B52" s="31">
        <v>4</v>
      </c>
      <c r="C52" s="506" t="s">
        <v>2479</v>
      </c>
      <c r="D52" s="31">
        <v>53</v>
      </c>
      <c r="E52" s="31">
        <v>2</v>
      </c>
      <c r="F52" s="507">
        <v>3.4616515695545401E-4</v>
      </c>
      <c r="G52" s="31">
        <v>1</v>
      </c>
      <c r="H52" s="38" t="s">
        <v>2449</v>
      </c>
    </row>
    <row r="53" spans="1:8" ht="17" x14ac:dyDescent="0.2">
      <c r="A53" s="146"/>
      <c r="B53" s="31">
        <v>5</v>
      </c>
      <c r="C53" s="506" t="s">
        <v>2480</v>
      </c>
      <c r="D53" s="31">
        <v>61</v>
      </c>
      <c r="E53" s="31">
        <v>2</v>
      </c>
      <c r="F53" s="507">
        <v>4.58880213039878E-4</v>
      </c>
      <c r="G53" s="31">
        <v>1</v>
      </c>
      <c r="H53" s="38" t="s">
        <v>2449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0E767-CDFA-4E46-AA4D-83C0C4003C84}">
  <dimension ref="B2:G16"/>
  <sheetViews>
    <sheetView workbookViewId="0"/>
  </sheetViews>
  <sheetFormatPr baseColWidth="10" defaultColWidth="11" defaultRowHeight="16" x14ac:dyDescent="0.2"/>
  <cols>
    <col min="1" max="1" width="4" customWidth="1"/>
    <col min="2" max="6" width="23.33203125" customWidth="1"/>
    <col min="7" max="7" width="36.6640625" customWidth="1"/>
  </cols>
  <sheetData>
    <row r="2" spans="2:7" x14ac:dyDescent="0.2">
      <c r="B2" s="25" t="s">
        <v>2920</v>
      </c>
    </row>
    <row r="3" spans="2:7" x14ac:dyDescent="0.2">
      <c r="B3" t="s">
        <v>2340</v>
      </c>
    </row>
    <row r="4" spans="2:7" ht="19" x14ac:dyDescent="0.2">
      <c r="B4" t="s">
        <v>2812</v>
      </c>
    </row>
    <row r="6" spans="2:7" ht="34" x14ac:dyDescent="0.2">
      <c r="B6" s="175" t="s">
        <v>1940</v>
      </c>
      <c r="C6" s="160" t="s">
        <v>2662</v>
      </c>
      <c r="D6" s="160" t="s">
        <v>1941</v>
      </c>
      <c r="E6" s="160" t="s">
        <v>1942</v>
      </c>
      <c r="F6" s="160" t="s">
        <v>2798</v>
      </c>
      <c r="G6" s="162" t="s">
        <v>1943</v>
      </c>
    </row>
    <row r="7" spans="2:7" ht="17" x14ac:dyDescent="0.2">
      <c r="B7" s="524" t="s">
        <v>759</v>
      </c>
      <c r="C7" s="525">
        <v>300</v>
      </c>
      <c r="D7" s="525">
        <v>0</v>
      </c>
      <c r="E7" s="525">
        <v>0</v>
      </c>
      <c r="F7" s="526">
        <v>0.72508885606729701</v>
      </c>
      <c r="G7" s="527" t="s">
        <v>23</v>
      </c>
    </row>
    <row r="8" spans="2:7" ht="17" x14ac:dyDescent="0.2">
      <c r="B8" s="256" t="s">
        <v>1606</v>
      </c>
      <c r="C8" s="257">
        <v>173</v>
      </c>
      <c r="D8" s="257">
        <v>0</v>
      </c>
      <c r="E8" s="257">
        <v>0</v>
      </c>
      <c r="F8" s="528">
        <v>0.64560586505101303</v>
      </c>
      <c r="G8" s="529" t="s">
        <v>23</v>
      </c>
    </row>
    <row r="9" spans="2:7" ht="17" x14ac:dyDescent="0.2">
      <c r="B9" s="256" t="s">
        <v>1944</v>
      </c>
      <c r="C9" s="257">
        <v>101</v>
      </c>
      <c r="D9" s="257">
        <v>0</v>
      </c>
      <c r="E9" s="373">
        <v>0</v>
      </c>
      <c r="F9" s="528">
        <v>0.59092279235184497</v>
      </c>
      <c r="G9" s="531" t="s">
        <v>23</v>
      </c>
    </row>
    <row r="10" spans="2:7" ht="34" x14ac:dyDescent="0.2">
      <c r="B10" s="256" t="s">
        <v>1945</v>
      </c>
      <c r="C10" s="257">
        <v>1037</v>
      </c>
      <c r="D10" s="257">
        <v>7</v>
      </c>
      <c r="E10" s="530">
        <v>3.4060114737753899</v>
      </c>
      <c r="F10" s="528">
        <v>2.6334017727642801E-3</v>
      </c>
      <c r="G10" s="531" t="s">
        <v>2656</v>
      </c>
    </row>
    <row r="11" spans="2:7" ht="34" x14ac:dyDescent="0.2">
      <c r="B11" s="256" t="s">
        <v>1946</v>
      </c>
      <c r="C11" s="257">
        <v>991</v>
      </c>
      <c r="D11" s="257">
        <v>6</v>
      </c>
      <c r="E11" s="530">
        <v>3.0549521968906599</v>
      </c>
      <c r="F11" s="528">
        <v>8.4214391569603902E-3</v>
      </c>
      <c r="G11" s="531" t="s">
        <v>2657</v>
      </c>
    </row>
    <row r="12" spans="2:7" ht="17" x14ac:dyDescent="0.2">
      <c r="B12" s="256" t="s">
        <v>1947</v>
      </c>
      <c r="C12" s="257">
        <v>131</v>
      </c>
      <c r="D12" s="257">
        <v>0</v>
      </c>
      <c r="E12" s="373">
        <v>0</v>
      </c>
      <c r="F12" s="528">
        <v>0.61464805880662599</v>
      </c>
      <c r="G12" s="531" t="s">
        <v>23</v>
      </c>
    </row>
    <row r="13" spans="2:7" ht="34" x14ac:dyDescent="0.2">
      <c r="B13" s="256" t="s">
        <v>1948</v>
      </c>
      <c r="C13" s="257">
        <v>1578</v>
      </c>
      <c r="D13" s="257">
        <v>7</v>
      </c>
      <c r="E13" s="530">
        <v>2.2382977809284399</v>
      </c>
      <c r="F13" s="528">
        <v>2.4016551196519999E-2</v>
      </c>
      <c r="G13" s="531" t="s">
        <v>2658</v>
      </c>
    </row>
    <row r="14" spans="2:7" ht="34" x14ac:dyDescent="0.2">
      <c r="B14" s="256" t="s">
        <v>1949</v>
      </c>
      <c r="C14" s="257">
        <v>1182</v>
      </c>
      <c r="D14" s="257">
        <v>9</v>
      </c>
      <c r="E14" s="530">
        <v>3.8419513034500601</v>
      </c>
      <c r="F14" s="535">
        <v>3.0014250331794899E-4</v>
      </c>
      <c r="G14" s="531" t="s">
        <v>2659</v>
      </c>
    </row>
    <row r="15" spans="2:7" ht="34" x14ac:dyDescent="0.2">
      <c r="B15" s="256" t="s">
        <v>1950</v>
      </c>
      <c r="C15" s="257">
        <v>1086</v>
      </c>
      <c r="D15" s="257">
        <v>6</v>
      </c>
      <c r="E15" s="530">
        <v>2.7877142054499502</v>
      </c>
      <c r="F15" s="528">
        <v>1.28889806505795E-2</v>
      </c>
      <c r="G15" s="531" t="s">
        <v>2660</v>
      </c>
    </row>
    <row r="16" spans="2:7" ht="34" x14ac:dyDescent="0.2">
      <c r="B16" s="136" t="s">
        <v>1951</v>
      </c>
      <c r="C16" s="137">
        <v>1227</v>
      </c>
      <c r="D16" s="137">
        <v>7</v>
      </c>
      <c r="E16" s="532">
        <v>2.8785932341524698</v>
      </c>
      <c r="F16" s="533">
        <v>6.6297773361497598E-3</v>
      </c>
      <c r="G16" s="534" t="s">
        <v>2661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79353-D21B-3944-B3E1-80E5B7570269}">
  <dimension ref="B2:K602"/>
  <sheetViews>
    <sheetView workbookViewId="0">
      <pane ySplit="10" topLeftCell="A11" activePane="bottomLeft" state="frozen"/>
      <selection pane="bottomLeft"/>
    </sheetView>
  </sheetViews>
  <sheetFormatPr baseColWidth="10" defaultColWidth="11" defaultRowHeight="16" x14ac:dyDescent="0.2"/>
  <cols>
    <col min="1" max="1" width="4" customWidth="1"/>
    <col min="2" max="2" width="57.1640625" customWidth="1"/>
    <col min="3" max="3" width="29.33203125" bestFit="1" customWidth="1"/>
    <col min="4" max="4" width="20.6640625" customWidth="1"/>
    <col min="5" max="11" width="14.5" customWidth="1"/>
  </cols>
  <sheetData>
    <row r="2" spans="2:11" x14ac:dyDescent="0.2">
      <c r="B2" s="25" t="s">
        <v>2921</v>
      </c>
    </row>
    <row r="3" spans="2:11" ht="18" x14ac:dyDescent="0.25">
      <c r="B3" s="181" t="s">
        <v>2341</v>
      </c>
    </row>
    <row r="4" spans="2:11" x14ac:dyDescent="0.2">
      <c r="B4" s="181" t="s">
        <v>2342</v>
      </c>
    </row>
    <row r="5" spans="2:11" ht="19" x14ac:dyDescent="0.2">
      <c r="B5" s="181" t="s">
        <v>2816</v>
      </c>
    </row>
    <row r="6" spans="2:11" ht="19" x14ac:dyDescent="0.2">
      <c r="B6" s="181" t="s">
        <v>2817</v>
      </c>
    </row>
    <row r="7" spans="2:11" ht="20" x14ac:dyDescent="0.25">
      <c r="B7" s="181" t="s">
        <v>2818</v>
      </c>
    </row>
    <row r="8" spans="2:11" ht="20" x14ac:dyDescent="0.25">
      <c r="B8" s="181" t="s">
        <v>2819</v>
      </c>
    </row>
    <row r="10" spans="2:11" ht="54" x14ac:dyDescent="0.2">
      <c r="B10" s="158" t="s">
        <v>1566</v>
      </c>
      <c r="C10" s="159" t="s">
        <v>1567</v>
      </c>
      <c r="D10" s="165" t="s">
        <v>1568</v>
      </c>
      <c r="E10" s="160" t="s">
        <v>1570</v>
      </c>
      <c r="F10" s="161" t="s">
        <v>1571</v>
      </c>
      <c r="G10" s="161" t="s">
        <v>2798</v>
      </c>
      <c r="H10" s="161" t="s">
        <v>2813</v>
      </c>
      <c r="I10" s="161" t="s">
        <v>1569</v>
      </c>
      <c r="J10" s="160" t="s">
        <v>2814</v>
      </c>
      <c r="K10" s="162" t="s">
        <v>2815</v>
      </c>
    </row>
    <row r="11" spans="2:11" ht="34" x14ac:dyDescent="0.2">
      <c r="B11" s="343" t="s">
        <v>1562</v>
      </c>
      <c r="C11" s="344" t="s">
        <v>551</v>
      </c>
      <c r="D11" s="345" t="s">
        <v>961</v>
      </c>
      <c r="E11" s="221">
        <v>0.34389999999999998</v>
      </c>
      <c r="F11" s="221">
        <v>6.2670000000000003E-2</v>
      </c>
      <c r="G11" s="225">
        <v>4.084E-8</v>
      </c>
      <c r="H11" s="221">
        <v>5.6759999999999996E-3</v>
      </c>
      <c r="I11" s="221">
        <v>1.291E-3</v>
      </c>
      <c r="J11" s="219" t="b">
        <v>1</v>
      </c>
      <c r="K11" s="220" t="b">
        <v>1</v>
      </c>
    </row>
    <row r="12" spans="2:11" ht="17" x14ac:dyDescent="0.2">
      <c r="B12" s="337" t="s">
        <v>1559</v>
      </c>
      <c r="C12" s="346" t="s">
        <v>551</v>
      </c>
      <c r="D12" s="338" t="s">
        <v>961</v>
      </c>
      <c r="E12" s="347">
        <v>0.3256</v>
      </c>
      <c r="F12" s="347">
        <v>6.182E-2</v>
      </c>
      <c r="G12" s="348">
        <v>1.3790000000000001E-7</v>
      </c>
      <c r="H12" s="347">
        <v>5.5779999999999996E-3</v>
      </c>
      <c r="I12" s="347">
        <v>1.232E-3</v>
      </c>
      <c r="J12" s="349" t="b">
        <v>1</v>
      </c>
      <c r="K12" s="339" t="b">
        <v>1</v>
      </c>
    </row>
    <row r="13" spans="2:11" ht="17" x14ac:dyDescent="0.2">
      <c r="B13" s="337" t="s">
        <v>1558</v>
      </c>
      <c r="C13" s="346" t="s">
        <v>551</v>
      </c>
      <c r="D13" s="338" t="s">
        <v>961</v>
      </c>
      <c r="E13" s="347">
        <v>0.32550000000000001</v>
      </c>
      <c r="F13" s="347">
        <v>5.638E-2</v>
      </c>
      <c r="G13" s="348">
        <v>7.7960000000000008E-9</v>
      </c>
      <c r="H13" s="347">
        <v>1.017E-2</v>
      </c>
      <c r="I13" s="347">
        <v>1.402E-3</v>
      </c>
      <c r="J13" s="349" t="b">
        <v>1</v>
      </c>
      <c r="K13" s="339" t="b">
        <v>1</v>
      </c>
    </row>
    <row r="14" spans="2:11" ht="17" x14ac:dyDescent="0.2">
      <c r="B14" s="337" t="s">
        <v>1556</v>
      </c>
      <c r="C14" s="346" t="s">
        <v>551</v>
      </c>
      <c r="D14" s="338" t="s">
        <v>961</v>
      </c>
      <c r="E14" s="347">
        <v>0.3135</v>
      </c>
      <c r="F14" s="347">
        <v>6.1379999999999997E-2</v>
      </c>
      <c r="G14" s="348">
        <v>3.276E-7</v>
      </c>
      <c r="H14" s="347">
        <v>8.0459999999999993E-3</v>
      </c>
      <c r="I14" s="347">
        <v>1.47E-3</v>
      </c>
      <c r="J14" s="349" t="b">
        <v>1</v>
      </c>
      <c r="K14" s="339" t="b">
        <v>1</v>
      </c>
    </row>
    <row r="15" spans="2:11" ht="17" x14ac:dyDescent="0.2">
      <c r="B15" s="337" t="s">
        <v>1543</v>
      </c>
      <c r="C15" s="346" t="s">
        <v>551</v>
      </c>
      <c r="D15" s="338" t="s">
        <v>961</v>
      </c>
      <c r="E15" s="347">
        <v>0.26400000000000001</v>
      </c>
      <c r="F15" s="347">
        <v>3.8929999999999999E-2</v>
      </c>
      <c r="G15" s="348">
        <v>1.197E-11</v>
      </c>
      <c r="H15" s="347">
        <v>2.0729999999999998E-2</v>
      </c>
      <c r="I15" s="347">
        <v>1.639E-3</v>
      </c>
      <c r="J15" s="349" t="b">
        <v>1</v>
      </c>
      <c r="K15" s="339" t="b">
        <v>1</v>
      </c>
    </row>
    <row r="16" spans="2:11" ht="17" x14ac:dyDescent="0.2">
      <c r="B16" s="337" t="s">
        <v>1536</v>
      </c>
      <c r="C16" s="346" t="s">
        <v>551</v>
      </c>
      <c r="D16" s="338" t="s">
        <v>961</v>
      </c>
      <c r="E16" s="347">
        <v>0.24360000000000001</v>
      </c>
      <c r="F16" s="347">
        <v>4.3839999999999997E-2</v>
      </c>
      <c r="G16" s="348">
        <v>2.749E-8</v>
      </c>
      <c r="H16" s="347">
        <v>8.0509999999999998E-2</v>
      </c>
      <c r="I16" s="347">
        <v>8.6820000000000005E-3</v>
      </c>
      <c r="J16" s="349" t="b">
        <v>1</v>
      </c>
      <c r="K16" s="339" t="b">
        <v>1</v>
      </c>
    </row>
    <row r="17" spans="2:11" ht="17" x14ac:dyDescent="0.2">
      <c r="B17" s="337" t="s">
        <v>1535</v>
      </c>
      <c r="C17" s="346" t="s">
        <v>551</v>
      </c>
      <c r="D17" s="338" t="s">
        <v>961</v>
      </c>
      <c r="E17" s="347">
        <v>0.24329999999999999</v>
      </c>
      <c r="F17" s="347">
        <v>3.7019999999999997E-2</v>
      </c>
      <c r="G17" s="348">
        <v>5.0180000000000001E-11</v>
      </c>
      <c r="H17" s="347">
        <v>2.2839999999999999E-2</v>
      </c>
      <c r="I17" s="347">
        <v>2.0219999999999999E-3</v>
      </c>
      <c r="J17" s="349" t="b">
        <v>1</v>
      </c>
      <c r="K17" s="339" t="b">
        <v>1</v>
      </c>
    </row>
    <row r="18" spans="2:11" ht="34" x14ac:dyDescent="0.2">
      <c r="B18" s="337" t="s">
        <v>1532</v>
      </c>
      <c r="C18" s="346" t="s">
        <v>551</v>
      </c>
      <c r="D18" s="338" t="s">
        <v>961</v>
      </c>
      <c r="E18" s="347">
        <v>0.2382</v>
      </c>
      <c r="F18" s="347">
        <v>5.7520000000000002E-2</v>
      </c>
      <c r="G18" s="348">
        <v>3.4449999999999997E-5</v>
      </c>
      <c r="H18" s="347">
        <v>7.6699999999999997E-3</v>
      </c>
      <c r="I18" s="347">
        <v>1.408E-3</v>
      </c>
      <c r="J18" s="349" t="b">
        <v>1</v>
      </c>
      <c r="K18" s="339" t="b">
        <v>1</v>
      </c>
    </row>
    <row r="19" spans="2:11" ht="34" x14ac:dyDescent="0.2">
      <c r="B19" s="337" t="s">
        <v>1524</v>
      </c>
      <c r="C19" s="346" t="s">
        <v>551</v>
      </c>
      <c r="D19" s="338" t="s">
        <v>961</v>
      </c>
      <c r="E19" s="347">
        <v>0.23200000000000001</v>
      </c>
      <c r="F19" s="347">
        <v>5.7889999999999997E-2</v>
      </c>
      <c r="G19" s="348">
        <v>6.1379999999999998E-5</v>
      </c>
      <c r="H19" s="347">
        <v>9.3760000000000007E-3</v>
      </c>
      <c r="I19" s="347">
        <v>1.591E-3</v>
      </c>
      <c r="J19" s="349" t="b">
        <v>1</v>
      </c>
      <c r="K19" s="339" t="b">
        <v>1</v>
      </c>
    </row>
    <row r="20" spans="2:11" ht="17" x14ac:dyDescent="0.2">
      <c r="B20" s="337" t="s">
        <v>1523</v>
      </c>
      <c r="C20" s="346" t="s">
        <v>551</v>
      </c>
      <c r="D20" s="338" t="s">
        <v>965</v>
      </c>
      <c r="E20" s="347">
        <v>0.23080000000000001</v>
      </c>
      <c r="F20" s="347">
        <v>2.2610000000000002E-2</v>
      </c>
      <c r="G20" s="348">
        <v>1.8539999999999999E-24</v>
      </c>
      <c r="H20" s="347">
        <v>0.22739999999999999</v>
      </c>
      <c r="I20" s="347">
        <v>6.5370000000000003E-3</v>
      </c>
      <c r="J20" s="349" t="b">
        <v>1</v>
      </c>
      <c r="K20" s="339" t="b">
        <v>1</v>
      </c>
    </row>
    <row r="21" spans="2:11" ht="17" x14ac:dyDescent="0.2">
      <c r="B21" s="337" t="s">
        <v>1522</v>
      </c>
      <c r="C21" s="346" t="s">
        <v>551</v>
      </c>
      <c r="D21" s="338" t="s">
        <v>961</v>
      </c>
      <c r="E21" s="347">
        <v>0.2296</v>
      </c>
      <c r="F21" s="347">
        <v>4.6980000000000001E-2</v>
      </c>
      <c r="G21" s="348">
        <v>1.018E-6</v>
      </c>
      <c r="H21" s="347">
        <v>1.2670000000000001E-2</v>
      </c>
      <c r="I21" s="347">
        <v>1.629E-3</v>
      </c>
      <c r="J21" s="349" t="b">
        <v>1</v>
      </c>
      <c r="K21" s="339" t="b">
        <v>1</v>
      </c>
    </row>
    <row r="22" spans="2:11" ht="17" x14ac:dyDescent="0.2">
      <c r="B22" s="337" t="s">
        <v>1521</v>
      </c>
      <c r="C22" s="346" t="s">
        <v>551</v>
      </c>
      <c r="D22" s="338" t="s">
        <v>961</v>
      </c>
      <c r="E22" s="347">
        <v>0.22869999999999999</v>
      </c>
      <c r="F22" s="347">
        <v>4.444E-2</v>
      </c>
      <c r="G22" s="348">
        <v>2.6679999999999998E-7</v>
      </c>
      <c r="H22" s="347">
        <v>1.367E-2</v>
      </c>
      <c r="I22" s="347">
        <v>1.5809999999999999E-3</v>
      </c>
      <c r="J22" s="349" t="b">
        <v>1</v>
      </c>
      <c r="K22" s="339" t="b">
        <v>1</v>
      </c>
    </row>
    <row r="23" spans="2:11" ht="17" x14ac:dyDescent="0.2">
      <c r="B23" s="337" t="s">
        <v>1520</v>
      </c>
      <c r="C23" s="346" t="s">
        <v>551</v>
      </c>
      <c r="D23" s="338" t="s">
        <v>965</v>
      </c>
      <c r="E23" s="347">
        <v>0.22650000000000001</v>
      </c>
      <c r="F23" s="347">
        <v>2.232E-2</v>
      </c>
      <c r="G23" s="348">
        <v>3.3860000000000003E-24</v>
      </c>
      <c r="H23" s="347">
        <v>0.2268</v>
      </c>
      <c r="I23" s="347">
        <v>6.5120000000000004E-3</v>
      </c>
      <c r="J23" s="349" t="b">
        <v>1</v>
      </c>
      <c r="K23" s="339" t="b">
        <v>1</v>
      </c>
    </row>
    <row r="24" spans="2:11" ht="17" x14ac:dyDescent="0.2">
      <c r="B24" s="337" t="s">
        <v>1519</v>
      </c>
      <c r="C24" s="346" t="s">
        <v>551</v>
      </c>
      <c r="D24" s="338" t="s">
        <v>965</v>
      </c>
      <c r="E24" s="347">
        <v>0.2263</v>
      </c>
      <c r="F24" s="347">
        <v>2.2089999999999999E-2</v>
      </c>
      <c r="G24" s="348">
        <v>1.2629999999999999E-24</v>
      </c>
      <c r="H24" s="347">
        <v>0.21490000000000001</v>
      </c>
      <c r="I24" s="347">
        <v>7.0130000000000001E-3</v>
      </c>
      <c r="J24" s="349" t="b">
        <v>1</v>
      </c>
      <c r="K24" s="339" t="b">
        <v>1</v>
      </c>
    </row>
    <row r="25" spans="2:11" ht="17" x14ac:dyDescent="0.2">
      <c r="B25" s="337" t="s">
        <v>1518</v>
      </c>
      <c r="C25" s="346" t="s">
        <v>551</v>
      </c>
      <c r="D25" s="338" t="s">
        <v>965</v>
      </c>
      <c r="E25" s="347">
        <v>0.2258</v>
      </c>
      <c r="F25" s="347">
        <v>2.2339999999999999E-2</v>
      </c>
      <c r="G25" s="348">
        <v>5.2290000000000001E-24</v>
      </c>
      <c r="H25" s="347">
        <v>0.2049</v>
      </c>
      <c r="I25" s="347">
        <v>7.2820000000000003E-3</v>
      </c>
      <c r="J25" s="349" t="b">
        <v>1</v>
      </c>
      <c r="K25" s="339" t="b">
        <v>1</v>
      </c>
    </row>
    <row r="26" spans="2:11" ht="17" x14ac:dyDescent="0.2">
      <c r="B26" s="337" t="s">
        <v>1517</v>
      </c>
      <c r="C26" s="346" t="s">
        <v>551</v>
      </c>
      <c r="D26" s="338" t="s">
        <v>965</v>
      </c>
      <c r="E26" s="347">
        <v>0.2253</v>
      </c>
      <c r="F26" s="347">
        <v>2.198E-2</v>
      </c>
      <c r="G26" s="348">
        <v>1.1899999999999999E-24</v>
      </c>
      <c r="H26" s="347">
        <v>0.21990000000000001</v>
      </c>
      <c r="I26" s="347">
        <v>7.1339999999999997E-3</v>
      </c>
      <c r="J26" s="349" t="b">
        <v>1</v>
      </c>
      <c r="K26" s="339" t="b">
        <v>1</v>
      </c>
    </row>
    <row r="27" spans="2:11" ht="17" x14ac:dyDescent="0.2">
      <c r="B27" s="337" t="s">
        <v>1516</v>
      </c>
      <c r="C27" s="346" t="s">
        <v>551</v>
      </c>
      <c r="D27" s="338" t="s">
        <v>961</v>
      </c>
      <c r="E27" s="347">
        <v>0.22389999999999999</v>
      </c>
      <c r="F27" s="347">
        <v>4.5830000000000003E-2</v>
      </c>
      <c r="G27" s="348">
        <v>1.0330000000000001E-6</v>
      </c>
      <c r="H27" s="347">
        <v>1.409E-2</v>
      </c>
      <c r="I27" s="347">
        <v>1.596E-3</v>
      </c>
      <c r="J27" s="349" t="b">
        <v>1</v>
      </c>
      <c r="K27" s="339" t="b">
        <v>1</v>
      </c>
    </row>
    <row r="28" spans="2:11" ht="17" x14ac:dyDescent="0.2">
      <c r="B28" s="337" t="s">
        <v>1512</v>
      </c>
      <c r="C28" s="346" t="s">
        <v>551</v>
      </c>
      <c r="D28" s="338" t="s">
        <v>965</v>
      </c>
      <c r="E28" s="347">
        <v>0.22070000000000001</v>
      </c>
      <c r="F28" s="347">
        <v>2.2530000000000001E-2</v>
      </c>
      <c r="G28" s="348">
        <v>1.2099999999999999E-22</v>
      </c>
      <c r="H28" s="347">
        <v>0.2429</v>
      </c>
      <c r="I28" s="347">
        <v>8.4919999999999995E-3</v>
      </c>
      <c r="J28" s="349" t="b">
        <v>1</v>
      </c>
      <c r="K28" s="339" t="b">
        <v>1</v>
      </c>
    </row>
    <row r="29" spans="2:11" ht="17" x14ac:dyDescent="0.2">
      <c r="B29" s="337" t="s">
        <v>1510</v>
      </c>
      <c r="C29" s="346" t="s">
        <v>551</v>
      </c>
      <c r="D29" s="338" t="s">
        <v>965</v>
      </c>
      <c r="E29" s="347">
        <v>0.21790000000000001</v>
      </c>
      <c r="F29" s="347">
        <v>2.128E-2</v>
      </c>
      <c r="G29" s="348">
        <v>1.309E-24</v>
      </c>
      <c r="H29" s="347">
        <v>0.2263</v>
      </c>
      <c r="I29" s="347">
        <v>6.8539999999999998E-3</v>
      </c>
      <c r="J29" s="349" t="b">
        <v>1</v>
      </c>
      <c r="K29" s="339" t="b">
        <v>1</v>
      </c>
    </row>
    <row r="30" spans="2:11" ht="17" x14ac:dyDescent="0.2">
      <c r="B30" s="337" t="s">
        <v>1508</v>
      </c>
      <c r="C30" s="346" t="s">
        <v>1509</v>
      </c>
      <c r="D30" s="338" t="s">
        <v>961</v>
      </c>
      <c r="E30" s="347">
        <v>0.21779999999999999</v>
      </c>
      <c r="F30" s="347">
        <v>4.3580000000000001E-2</v>
      </c>
      <c r="G30" s="348">
        <v>5.835E-7</v>
      </c>
      <c r="H30" s="347">
        <v>4.5719999999999997E-2</v>
      </c>
      <c r="I30" s="347">
        <v>4.8260000000000004E-3</v>
      </c>
      <c r="J30" s="349" t="b">
        <v>1</v>
      </c>
      <c r="K30" s="339" t="b">
        <v>1</v>
      </c>
    </row>
    <row r="31" spans="2:11" ht="17" x14ac:dyDescent="0.2">
      <c r="B31" s="337" t="s">
        <v>1506</v>
      </c>
      <c r="C31" s="346" t="s">
        <v>551</v>
      </c>
      <c r="D31" s="338" t="s">
        <v>965</v>
      </c>
      <c r="E31" s="347">
        <v>0.217</v>
      </c>
      <c r="F31" s="347">
        <v>2.248E-2</v>
      </c>
      <c r="G31" s="348">
        <v>4.7900000000000004E-22</v>
      </c>
      <c r="H31" s="347">
        <v>0.2031</v>
      </c>
      <c r="I31" s="347">
        <v>7.3709999999999999E-3</v>
      </c>
      <c r="J31" s="349" t="b">
        <v>1</v>
      </c>
      <c r="K31" s="339" t="b">
        <v>1</v>
      </c>
    </row>
    <row r="32" spans="2:11" ht="17" x14ac:dyDescent="0.2">
      <c r="B32" s="337" t="s">
        <v>1507</v>
      </c>
      <c r="C32" s="346" t="s">
        <v>551</v>
      </c>
      <c r="D32" s="338" t="s">
        <v>965</v>
      </c>
      <c r="E32" s="347">
        <v>0.217</v>
      </c>
      <c r="F32" s="347">
        <v>2.2669999999999999E-2</v>
      </c>
      <c r="G32" s="348">
        <v>1.0440000000000001E-21</v>
      </c>
      <c r="H32" s="347">
        <v>0.21529999999999999</v>
      </c>
      <c r="I32" s="347">
        <v>7.3460000000000001E-3</v>
      </c>
      <c r="J32" s="349" t="b">
        <v>1</v>
      </c>
      <c r="K32" s="339" t="b">
        <v>1</v>
      </c>
    </row>
    <row r="33" spans="2:11" ht="34" x14ac:dyDescent="0.2">
      <c r="B33" s="337" t="s">
        <v>1505</v>
      </c>
      <c r="C33" s="346" t="s">
        <v>551</v>
      </c>
      <c r="D33" s="338" t="s">
        <v>961</v>
      </c>
      <c r="E33" s="347">
        <v>0.21679999999999999</v>
      </c>
      <c r="F33" s="347">
        <v>4.0009999999999997E-2</v>
      </c>
      <c r="G33" s="348">
        <v>5.9909999999999998E-8</v>
      </c>
      <c r="H33" s="347">
        <v>4.7910000000000001E-2</v>
      </c>
      <c r="I33" s="347">
        <v>5.5120000000000004E-3</v>
      </c>
      <c r="J33" s="349" t="b">
        <v>1</v>
      </c>
      <c r="K33" s="339" t="b">
        <v>1</v>
      </c>
    </row>
    <row r="34" spans="2:11" ht="17" x14ac:dyDescent="0.2">
      <c r="B34" s="337" t="s">
        <v>1504</v>
      </c>
      <c r="C34" s="346" t="s">
        <v>551</v>
      </c>
      <c r="D34" s="338" t="s">
        <v>965</v>
      </c>
      <c r="E34" s="347">
        <v>0.21659999999999999</v>
      </c>
      <c r="F34" s="347">
        <v>2.2329999999999999E-2</v>
      </c>
      <c r="G34" s="348">
        <v>3.0799999999999998E-22</v>
      </c>
      <c r="H34" s="347">
        <v>0.20599999999999999</v>
      </c>
      <c r="I34" s="347">
        <v>7.4729999999999996E-3</v>
      </c>
      <c r="J34" s="349" t="b">
        <v>1</v>
      </c>
      <c r="K34" s="339" t="b">
        <v>1</v>
      </c>
    </row>
    <row r="35" spans="2:11" ht="17" x14ac:dyDescent="0.2">
      <c r="B35" s="337" t="s">
        <v>1502</v>
      </c>
      <c r="C35" s="346" t="s">
        <v>551</v>
      </c>
      <c r="D35" s="338" t="s">
        <v>965</v>
      </c>
      <c r="E35" s="347">
        <v>0.21460000000000001</v>
      </c>
      <c r="F35" s="347">
        <v>2.2579999999999999E-2</v>
      </c>
      <c r="G35" s="348">
        <v>1.9899999999999999E-21</v>
      </c>
      <c r="H35" s="347">
        <v>0.2152</v>
      </c>
      <c r="I35" s="347">
        <v>7.3410000000000003E-3</v>
      </c>
      <c r="J35" s="349" t="b">
        <v>1</v>
      </c>
      <c r="K35" s="339" t="b">
        <v>1</v>
      </c>
    </row>
    <row r="36" spans="2:11" ht="17" x14ac:dyDescent="0.2">
      <c r="B36" s="337" t="s">
        <v>1500</v>
      </c>
      <c r="C36" s="346" t="s">
        <v>551</v>
      </c>
      <c r="D36" s="338" t="s">
        <v>961</v>
      </c>
      <c r="E36" s="347">
        <v>0.20979999999999999</v>
      </c>
      <c r="F36" s="347">
        <v>3.2439999999999997E-2</v>
      </c>
      <c r="G36" s="348">
        <v>1.005E-10</v>
      </c>
      <c r="H36" s="347">
        <v>6.0639999999999999E-2</v>
      </c>
      <c r="I36" s="347">
        <v>2.9359999999999998E-3</v>
      </c>
      <c r="J36" s="349" t="b">
        <v>1</v>
      </c>
      <c r="K36" s="339" t="b">
        <v>1</v>
      </c>
    </row>
    <row r="37" spans="2:11" ht="17" x14ac:dyDescent="0.2">
      <c r="B37" s="337" t="s">
        <v>1496</v>
      </c>
      <c r="C37" s="346" t="s">
        <v>551</v>
      </c>
      <c r="D37" s="338" t="s">
        <v>965</v>
      </c>
      <c r="E37" s="347">
        <v>0.2077</v>
      </c>
      <c r="F37" s="347">
        <v>2.1530000000000001E-2</v>
      </c>
      <c r="G37" s="348">
        <v>5.0700000000000002E-22</v>
      </c>
      <c r="H37" s="347">
        <v>0.23139999999999999</v>
      </c>
      <c r="I37" s="347">
        <v>7.7079999999999996E-3</v>
      </c>
      <c r="J37" s="349" t="b">
        <v>1</v>
      </c>
      <c r="K37" s="339" t="b">
        <v>1</v>
      </c>
    </row>
    <row r="38" spans="2:11" ht="17" x14ac:dyDescent="0.2">
      <c r="B38" s="337" t="s">
        <v>1335</v>
      </c>
      <c r="C38" s="346" t="s">
        <v>1495</v>
      </c>
      <c r="D38" s="338" t="s">
        <v>960</v>
      </c>
      <c r="E38" s="347">
        <v>0.20499999999999999</v>
      </c>
      <c r="F38" s="347">
        <v>4.3020000000000003E-2</v>
      </c>
      <c r="G38" s="348">
        <v>1.897E-6</v>
      </c>
      <c r="H38" s="347">
        <v>7.5060000000000002E-2</v>
      </c>
      <c r="I38" s="347">
        <v>6.4570000000000001E-3</v>
      </c>
      <c r="J38" s="349" t="b">
        <v>1</v>
      </c>
      <c r="K38" s="339" t="b">
        <v>1</v>
      </c>
    </row>
    <row r="39" spans="2:11" ht="17" x14ac:dyDescent="0.2">
      <c r="B39" s="337" t="s">
        <v>1494</v>
      </c>
      <c r="C39" s="346" t="s">
        <v>551</v>
      </c>
      <c r="D39" s="338" t="s">
        <v>965</v>
      </c>
      <c r="E39" s="347">
        <v>0.20330000000000001</v>
      </c>
      <c r="F39" s="347">
        <v>2.086E-2</v>
      </c>
      <c r="G39" s="348">
        <v>1.9140000000000001E-22</v>
      </c>
      <c r="H39" s="347">
        <v>0.21240000000000001</v>
      </c>
      <c r="I39" s="347">
        <v>6.672E-3</v>
      </c>
      <c r="J39" s="349" t="b">
        <v>1</v>
      </c>
      <c r="K39" s="339" t="b">
        <v>1</v>
      </c>
    </row>
    <row r="40" spans="2:11" ht="17" x14ac:dyDescent="0.2">
      <c r="B40" s="337" t="s">
        <v>1493</v>
      </c>
      <c r="C40" s="346" t="s">
        <v>551</v>
      </c>
      <c r="D40" s="338" t="s">
        <v>961</v>
      </c>
      <c r="E40" s="347">
        <v>0.20039999999999999</v>
      </c>
      <c r="F40" s="347">
        <v>3.2509999999999997E-2</v>
      </c>
      <c r="G40" s="348">
        <v>7.1370000000000003E-10</v>
      </c>
      <c r="H40" s="347">
        <v>3.5580000000000001E-2</v>
      </c>
      <c r="I40" s="347">
        <v>2.3600000000000001E-3</v>
      </c>
      <c r="J40" s="349" t="b">
        <v>1</v>
      </c>
      <c r="K40" s="339" t="b">
        <v>1</v>
      </c>
    </row>
    <row r="41" spans="2:11" ht="17" x14ac:dyDescent="0.2">
      <c r="B41" s="337" t="s">
        <v>1489</v>
      </c>
      <c r="C41" s="346" t="s">
        <v>551</v>
      </c>
      <c r="D41" s="338" t="s">
        <v>965</v>
      </c>
      <c r="E41" s="347">
        <v>0.1973</v>
      </c>
      <c r="F41" s="347">
        <v>2.0930000000000001E-2</v>
      </c>
      <c r="G41" s="348">
        <v>4.2259999999999996E-21</v>
      </c>
      <c r="H41" s="347">
        <v>0.23330000000000001</v>
      </c>
      <c r="I41" s="347">
        <v>7.541E-3</v>
      </c>
      <c r="J41" s="349" t="b">
        <v>1</v>
      </c>
      <c r="K41" s="339" t="b">
        <v>1</v>
      </c>
    </row>
    <row r="42" spans="2:11" ht="17" x14ac:dyDescent="0.2">
      <c r="B42" s="337" t="s">
        <v>1486</v>
      </c>
      <c r="C42" s="346" t="s">
        <v>551</v>
      </c>
      <c r="D42" s="338" t="s">
        <v>965</v>
      </c>
      <c r="E42" s="347">
        <v>0.19259999999999999</v>
      </c>
      <c r="F42" s="347">
        <v>3.2050000000000002E-2</v>
      </c>
      <c r="G42" s="348">
        <v>1.866E-9</v>
      </c>
      <c r="H42" s="347">
        <v>0.11550000000000001</v>
      </c>
      <c r="I42" s="347">
        <v>1.12E-2</v>
      </c>
      <c r="J42" s="349" t="b">
        <v>1</v>
      </c>
      <c r="K42" s="339" t="b">
        <v>1</v>
      </c>
    </row>
    <row r="43" spans="2:11" ht="17" x14ac:dyDescent="0.2">
      <c r="B43" s="337" t="s">
        <v>1483</v>
      </c>
      <c r="C43" s="346" t="s">
        <v>551</v>
      </c>
      <c r="D43" s="338" t="s">
        <v>961</v>
      </c>
      <c r="E43" s="347">
        <v>0.1883</v>
      </c>
      <c r="F43" s="347">
        <v>4.2729999999999997E-2</v>
      </c>
      <c r="G43" s="348">
        <v>1.0509999999999999E-5</v>
      </c>
      <c r="H43" s="347">
        <v>1.9699999999999999E-2</v>
      </c>
      <c r="I43" s="347">
        <v>1.66E-3</v>
      </c>
      <c r="J43" s="349" t="b">
        <v>1</v>
      </c>
      <c r="K43" s="339" t="b">
        <v>1</v>
      </c>
    </row>
    <row r="44" spans="2:11" ht="17" x14ac:dyDescent="0.2">
      <c r="B44" s="337" t="s">
        <v>1482</v>
      </c>
      <c r="C44" s="346" t="s">
        <v>551</v>
      </c>
      <c r="D44" s="338" t="s">
        <v>961</v>
      </c>
      <c r="E44" s="347">
        <v>0.18820000000000001</v>
      </c>
      <c r="F44" s="347">
        <v>3.0089999999999999E-2</v>
      </c>
      <c r="G44" s="348">
        <v>4.003E-10</v>
      </c>
      <c r="H44" s="347">
        <v>4.335E-2</v>
      </c>
      <c r="I44" s="347">
        <v>2.6740000000000002E-3</v>
      </c>
      <c r="J44" s="349" t="b">
        <v>1</v>
      </c>
      <c r="K44" s="339" t="b">
        <v>1</v>
      </c>
    </row>
    <row r="45" spans="2:11" ht="17" x14ac:dyDescent="0.2">
      <c r="B45" s="337" t="s">
        <v>1481</v>
      </c>
      <c r="C45" s="346" t="s">
        <v>551</v>
      </c>
      <c r="D45" s="338" t="s">
        <v>961</v>
      </c>
      <c r="E45" s="347">
        <v>0.18640000000000001</v>
      </c>
      <c r="F45" s="347">
        <v>2.8219999999999999E-2</v>
      </c>
      <c r="G45" s="348">
        <v>3.9129999999999998E-11</v>
      </c>
      <c r="H45" s="347">
        <v>5.457E-2</v>
      </c>
      <c r="I45" s="347">
        <v>2.6029999999999998E-3</v>
      </c>
      <c r="J45" s="349" t="b">
        <v>1</v>
      </c>
      <c r="K45" s="339" t="b">
        <v>1</v>
      </c>
    </row>
    <row r="46" spans="2:11" ht="17" x14ac:dyDescent="0.2">
      <c r="B46" s="337" t="s">
        <v>1478</v>
      </c>
      <c r="C46" s="346" t="s">
        <v>551</v>
      </c>
      <c r="D46" s="338" t="s">
        <v>961</v>
      </c>
      <c r="E46" s="347">
        <v>0.18190000000000001</v>
      </c>
      <c r="F46" s="347">
        <v>3.952E-2</v>
      </c>
      <c r="G46" s="348">
        <v>4.177E-6</v>
      </c>
      <c r="H46" s="347">
        <v>5.8169999999999999E-2</v>
      </c>
      <c r="I46" s="347">
        <v>5.1359999999999999E-3</v>
      </c>
      <c r="J46" s="349" t="b">
        <v>1</v>
      </c>
      <c r="K46" s="339" t="b">
        <v>1</v>
      </c>
    </row>
    <row r="47" spans="2:11" ht="17" x14ac:dyDescent="0.2">
      <c r="B47" s="337" t="s">
        <v>1474</v>
      </c>
      <c r="C47" s="346" t="s">
        <v>551</v>
      </c>
      <c r="D47" s="338" t="s">
        <v>961</v>
      </c>
      <c r="E47" s="347">
        <v>0.1804</v>
      </c>
      <c r="F47" s="347">
        <v>3.1060000000000001E-2</v>
      </c>
      <c r="G47" s="348">
        <v>6.3730000000000002E-9</v>
      </c>
      <c r="H47" s="347">
        <v>3.3099999999999997E-2</v>
      </c>
      <c r="I47" s="347">
        <v>2.0100000000000001E-3</v>
      </c>
      <c r="J47" s="349" t="b">
        <v>1</v>
      </c>
      <c r="K47" s="339" t="b">
        <v>1</v>
      </c>
    </row>
    <row r="48" spans="2:11" ht="17" x14ac:dyDescent="0.2">
      <c r="B48" s="337" t="s">
        <v>1471</v>
      </c>
      <c r="C48" s="346" t="s">
        <v>551</v>
      </c>
      <c r="D48" s="338" t="s">
        <v>961</v>
      </c>
      <c r="E48" s="347">
        <v>0.17879999999999999</v>
      </c>
      <c r="F48" s="347">
        <v>2.7490000000000001E-2</v>
      </c>
      <c r="G48" s="348">
        <v>7.7349999999999997E-11</v>
      </c>
      <c r="H48" s="347">
        <v>7.4899999999999994E-2</v>
      </c>
      <c r="I48" s="347">
        <v>2.941E-3</v>
      </c>
      <c r="J48" s="349" t="b">
        <v>1</v>
      </c>
      <c r="K48" s="339" t="b">
        <v>1</v>
      </c>
    </row>
    <row r="49" spans="2:11" ht="17" x14ac:dyDescent="0.2">
      <c r="B49" s="337" t="s">
        <v>1467</v>
      </c>
      <c r="C49" s="346" t="s">
        <v>551</v>
      </c>
      <c r="D49" s="338" t="s">
        <v>961</v>
      </c>
      <c r="E49" s="347">
        <v>0.17449999999999999</v>
      </c>
      <c r="F49" s="347">
        <v>3.397E-2</v>
      </c>
      <c r="G49" s="348">
        <v>2.805E-7</v>
      </c>
      <c r="H49" s="347">
        <v>4.1029999999999997E-2</v>
      </c>
      <c r="I49" s="347">
        <v>2.0990000000000002E-3</v>
      </c>
      <c r="J49" s="349" t="b">
        <v>1</v>
      </c>
      <c r="K49" s="339" t="b">
        <v>1</v>
      </c>
    </row>
    <row r="50" spans="2:11" ht="17" x14ac:dyDescent="0.2">
      <c r="B50" s="337" t="s">
        <v>1464</v>
      </c>
      <c r="C50" s="346" t="s">
        <v>551</v>
      </c>
      <c r="D50" s="338" t="s">
        <v>960</v>
      </c>
      <c r="E50" s="347">
        <v>0.1741</v>
      </c>
      <c r="F50" s="347">
        <v>2.6689999999999998E-2</v>
      </c>
      <c r="G50" s="348">
        <v>6.9140000000000006E-11</v>
      </c>
      <c r="H50" s="347">
        <v>9.4810000000000005E-2</v>
      </c>
      <c r="I50" s="347">
        <v>3.9480000000000001E-3</v>
      </c>
      <c r="J50" s="349" t="b">
        <v>1</v>
      </c>
      <c r="K50" s="339" t="b">
        <v>1</v>
      </c>
    </row>
    <row r="51" spans="2:11" ht="17" x14ac:dyDescent="0.2">
      <c r="B51" s="337" t="s">
        <v>1461</v>
      </c>
      <c r="C51" s="346" t="s">
        <v>551</v>
      </c>
      <c r="D51" s="338" t="s">
        <v>965</v>
      </c>
      <c r="E51" s="347">
        <v>0.16880000000000001</v>
      </c>
      <c r="F51" s="347">
        <v>2.3400000000000001E-2</v>
      </c>
      <c r="G51" s="348">
        <v>5.3259999999999997E-13</v>
      </c>
      <c r="H51" s="347">
        <v>0.2112</v>
      </c>
      <c r="I51" s="347">
        <v>8.1880000000000008E-3</v>
      </c>
      <c r="J51" s="349" t="b">
        <v>1</v>
      </c>
      <c r="K51" s="339" t="b">
        <v>1</v>
      </c>
    </row>
    <row r="52" spans="2:11" ht="17" x14ac:dyDescent="0.2">
      <c r="B52" s="337" t="s">
        <v>1462</v>
      </c>
      <c r="C52" s="346" t="s">
        <v>551</v>
      </c>
      <c r="D52" s="338" t="s">
        <v>961</v>
      </c>
      <c r="E52" s="347">
        <v>0.16880000000000001</v>
      </c>
      <c r="F52" s="347">
        <v>3.431E-2</v>
      </c>
      <c r="G52" s="348">
        <v>8.611E-7</v>
      </c>
      <c r="H52" s="347">
        <v>3.4020000000000002E-2</v>
      </c>
      <c r="I52" s="347">
        <v>2.7079999999999999E-3</v>
      </c>
      <c r="J52" s="349" t="b">
        <v>1</v>
      </c>
      <c r="K52" s="339" t="b">
        <v>1</v>
      </c>
    </row>
    <row r="53" spans="2:11" ht="17" x14ac:dyDescent="0.2">
      <c r="B53" s="337" t="s">
        <v>1457</v>
      </c>
      <c r="C53" s="346" t="s">
        <v>551</v>
      </c>
      <c r="D53" s="338" t="s">
        <v>961</v>
      </c>
      <c r="E53" s="347">
        <v>0.16719999999999999</v>
      </c>
      <c r="F53" s="347">
        <v>3.8809999999999997E-2</v>
      </c>
      <c r="G53" s="348">
        <v>1.6460000000000002E-5</v>
      </c>
      <c r="H53" s="347">
        <v>1.9089999999999999E-2</v>
      </c>
      <c r="I53" s="347">
        <v>1.7179999999999999E-3</v>
      </c>
      <c r="J53" s="349" t="b">
        <v>1</v>
      </c>
      <c r="K53" s="339" t="b">
        <v>1</v>
      </c>
    </row>
    <row r="54" spans="2:11" ht="34" x14ac:dyDescent="0.2">
      <c r="B54" s="337" t="s">
        <v>1454</v>
      </c>
      <c r="C54" s="346" t="s">
        <v>551</v>
      </c>
      <c r="D54" s="338" t="s">
        <v>961</v>
      </c>
      <c r="E54" s="347">
        <v>0.16589999999999999</v>
      </c>
      <c r="F54" s="347">
        <v>3.8960000000000002E-2</v>
      </c>
      <c r="G54" s="348">
        <v>2.069E-5</v>
      </c>
      <c r="H54" s="347">
        <v>1.9220000000000001E-2</v>
      </c>
      <c r="I54" s="347">
        <v>1.6999999999999999E-3</v>
      </c>
      <c r="J54" s="349" t="b">
        <v>1</v>
      </c>
      <c r="K54" s="339" t="b">
        <v>1</v>
      </c>
    </row>
    <row r="55" spans="2:11" ht="17" x14ac:dyDescent="0.2">
      <c r="B55" s="337" t="s">
        <v>1453</v>
      </c>
      <c r="C55" s="346" t="s">
        <v>551</v>
      </c>
      <c r="D55" s="338" t="s">
        <v>965</v>
      </c>
      <c r="E55" s="347">
        <v>0.1658</v>
      </c>
      <c r="F55" s="347">
        <v>2.1409999999999998E-2</v>
      </c>
      <c r="G55" s="348">
        <v>9.6289999999999993E-15</v>
      </c>
      <c r="H55" s="347">
        <v>0.25879999999999997</v>
      </c>
      <c r="I55" s="347">
        <v>9.2280000000000001E-3</v>
      </c>
      <c r="J55" s="349" t="b">
        <v>1</v>
      </c>
      <c r="K55" s="339" t="b">
        <v>1</v>
      </c>
    </row>
    <row r="56" spans="2:11" ht="17" x14ac:dyDescent="0.2">
      <c r="B56" s="337" t="s">
        <v>1448</v>
      </c>
      <c r="C56" s="346" t="s">
        <v>551</v>
      </c>
      <c r="D56" s="338" t="s">
        <v>965</v>
      </c>
      <c r="E56" s="347">
        <v>0.1648</v>
      </c>
      <c r="F56" s="347">
        <v>3.533E-2</v>
      </c>
      <c r="G56" s="348">
        <v>3.1E-6</v>
      </c>
      <c r="H56" s="347">
        <v>6.3630000000000006E-2</v>
      </c>
      <c r="I56" s="347">
        <v>6.4799999999999996E-3</v>
      </c>
      <c r="J56" s="349" t="b">
        <v>1</v>
      </c>
      <c r="K56" s="339" t="b">
        <v>1</v>
      </c>
    </row>
    <row r="57" spans="2:11" ht="17" x14ac:dyDescent="0.2">
      <c r="B57" s="337" t="s">
        <v>1444</v>
      </c>
      <c r="C57" s="346" t="s">
        <v>1119</v>
      </c>
      <c r="D57" s="338" t="s">
        <v>965</v>
      </c>
      <c r="E57" s="347">
        <v>0.1638</v>
      </c>
      <c r="F57" s="347">
        <v>2.342E-2</v>
      </c>
      <c r="G57" s="348">
        <v>2.7120000000000002E-12</v>
      </c>
      <c r="H57" s="347">
        <v>9.2420000000000002E-2</v>
      </c>
      <c r="I57" s="347">
        <v>4.6540000000000002E-3</v>
      </c>
      <c r="J57" s="349" t="b">
        <v>1</v>
      </c>
      <c r="K57" s="339" t="b">
        <v>1</v>
      </c>
    </row>
    <row r="58" spans="2:11" ht="17" x14ac:dyDescent="0.2">
      <c r="B58" s="337" t="s">
        <v>1440</v>
      </c>
      <c r="C58" s="346" t="s">
        <v>1441</v>
      </c>
      <c r="D58" s="338" t="s">
        <v>961</v>
      </c>
      <c r="E58" s="347">
        <v>0.1628</v>
      </c>
      <c r="F58" s="347">
        <v>2.648E-2</v>
      </c>
      <c r="G58" s="348">
        <v>7.8480000000000002E-10</v>
      </c>
      <c r="H58" s="347">
        <v>8.5559999999999997E-2</v>
      </c>
      <c r="I58" s="347">
        <v>3.395E-3</v>
      </c>
      <c r="J58" s="349" t="b">
        <v>1</v>
      </c>
      <c r="K58" s="339" t="b">
        <v>1</v>
      </c>
    </row>
    <row r="59" spans="2:11" ht="17" x14ac:dyDescent="0.2">
      <c r="B59" s="337" t="s">
        <v>1439</v>
      </c>
      <c r="C59" s="346" t="s">
        <v>551</v>
      </c>
      <c r="D59" s="338" t="s">
        <v>961</v>
      </c>
      <c r="E59" s="347">
        <v>0.1623</v>
      </c>
      <c r="F59" s="347">
        <v>3.5490000000000001E-2</v>
      </c>
      <c r="G59" s="348">
        <v>4.826E-6</v>
      </c>
      <c r="H59" s="347">
        <v>2.843E-2</v>
      </c>
      <c r="I59" s="347">
        <v>2.5799999999999998E-3</v>
      </c>
      <c r="J59" s="349" t="b">
        <v>1</v>
      </c>
      <c r="K59" s="339" t="b">
        <v>1</v>
      </c>
    </row>
    <row r="60" spans="2:11" ht="17" x14ac:dyDescent="0.2">
      <c r="B60" s="337" t="s">
        <v>1436</v>
      </c>
      <c r="C60" s="346" t="s">
        <v>551</v>
      </c>
      <c r="D60" s="338" t="s">
        <v>961</v>
      </c>
      <c r="E60" s="347">
        <v>0.16070000000000001</v>
      </c>
      <c r="F60" s="347">
        <v>4.0689999999999997E-2</v>
      </c>
      <c r="G60" s="348">
        <v>7.8200000000000003E-5</v>
      </c>
      <c r="H60" s="347">
        <v>1.9279999999999999E-2</v>
      </c>
      <c r="I60" s="347">
        <v>1.861E-3</v>
      </c>
      <c r="J60" s="349" t="b">
        <v>1</v>
      </c>
      <c r="K60" s="339" t="b">
        <v>1</v>
      </c>
    </row>
    <row r="61" spans="2:11" ht="17" x14ac:dyDescent="0.2">
      <c r="B61" s="337" t="s">
        <v>1437</v>
      </c>
      <c r="C61" s="346" t="s">
        <v>551</v>
      </c>
      <c r="D61" s="338" t="s">
        <v>961</v>
      </c>
      <c r="E61" s="347">
        <v>0.16070000000000001</v>
      </c>
      <c r="F61" s="347">
        <v>4.0689999999999997E-2</v>
      </c>
      <c r="G61" s="348">
        <v>7.8200000000000003E-5</v>
      </c>
      <c r="H61" s="347">
        <v>1.9279999999999999E-2</v>
      </c>
      <c r="I61" s="347">
        <v>1.861E-3</v>
      </c>
      <c r="J61" s="349" t="b">
        <v>1</v>
      </c>
      <c r="K61" s="339" t="b">
        <v>1</v>
      </c>
    </row>
    <row r="62" spans="2:11" ht="17" x14ac:dyDescent="0.2">
      <c r="B62" s="337" t="s">
        <v>1428</v>
      </c>
      <c r="C62" s="346" t="s">
        <v>551</v>
      </c>
      <c r="D62" s="338" t="s">
        <v>961</v>
      </c>
      <c r="E62" s="347">
        <v>0.1545</v>
      </c>
      <c r="F62" s="347">
        <v>3.4349999999999999E-2</v>
      </c>
      <c r="G62" s="348">
        <v>6.8179999999999998E-6</v>
      </c>
      <c r="H62" s="347">
        <v>2.9590000000000002E-2</v>
      </c>
      <c r="I62" s="347">
        <v>2.6930000000000001E-3</v>
      </c>
      <c r="J62" s="349" t="b">
        <v>1</v>
      </c>
      <c r="K62" s="339" t="b">
        <v>1</v>
      </c>
    </row>
    <row r="63" spans="2:11" ht="17" x14ac:dyDescent="0.2">
      <c r="B63" s="337" t="s">
        <v>1422</v>
      </c>
      <c r="C63" s="346" t="s">
        <v>551</v>
      </c>
      <c r="D63" s="338" t="s">
        <v>965</v>
      </c>
      <c r="E63" s="347">
        <v>0.15110000000000001</v>
      </c>
      <c r="F63" s="347">
        <v>3.7449999999999997E-2</v>
      </c>
      <c r="G63" s="348">
        <v>5.482E-5</v>
      </c>
      <c r="H63" s="347">
        <v>5.6930000000000001E-2</v>
      </c>
      <c r="I63" s="347">
        <v>5.9319999999999998E-3</v>
      </c>
      <c r="J63" s="349" t="b">
        <v>1</v>
      </c>
      <c r="K63" s="339" t="b">
        <v>1</v>
      </c>
    </row>
    <row r="64" spans="2:11" ht="17" x14ac:dyDescent="0.2">
      <c r="B64" s="337" t="s">
        <v>1421</v>
      </c>
      <c r="C64" s="346" t="s">
        <v>551</v>
      </c>
      <c r="D64" s="338" t="s">
        <v>961</v>
      </c>
      <c r="E64" s="347">
        <v>0.15049999999999999</v>
      </c>
      <c r="F64" s="347">
        <v>3.5709999999999999E-2</v>
      </c>
      <c r="G64" s="348">
        <v>2.4939999999999998E-5</v>
      </c>
      <c r="H64" s="347">
        <v>2.3779999999999999E-2</v>
      </c>
      <c r="I64" s="347">
        <v>1.709E-3</v>
      </c>
      <c r="J64" s="349" t="b">
        <v>1</v>
      </c>
      <c r="K64" s="339" t="b">
        <v>1</v>
      </c>
    </row>
    <row r="65" spans="2:11" ht="17" x14ac:dyDescent="0.2">
      <c r="B65" s="337" t="s">
        <v>1408</v>
      </c>
      <c r="C65" s="346" t="s">
        <v>1409</v>
      </c>
      <c r="D65" s="338" t="s">
        <v>961</v>
      </c>
      <c r="E65" s="347">
        <v>0.13739999999999999</v>
      </c>
      <c r="F65" s="347">
        <v>2.453E-2</v>
      </c>
      <c r="G65" s="348">
        <v>2.1220000000000001E-8</v>
      </c>
      <c r="H65" s="347">
        <v>3.7490000000000002E-2</v>
      </c>
      <c r="I65" s="347">
        <v>1.547E-3</v>
      </c>
      <c r="J65" s="349" t="b">
        <v>1</v>
      </c>
      <c r="K65" s="339" t="b">
        <v>1</v>
      </c>
    </row>
    <row r="66" spans="2:11" ht="17" x14ac:dyDescent="0.2">
      <c r="B66" s="337" t="s">
        <v>1407</v>
      </c>
      <c r="C66" s="346" t="s">
        <v>551</v>
      </c>
      <c r="D66" s="338" t="s">
        <v>961</v>
      </c>
      <c r="E66" s="347">
        <v>0.13650000000000001</v>
      </c>
      <c r="F66" s="347">
        <v>2.8760000000000001E-2</v>
      </c>
      <c r="G66" s="348">
        <v>2.074E-6</v>
      </c>
      <c r="H66" s="347">
        <v>0.11840000000000001</v>
      </c>
      <c r="I66" s="347">
        <v>5.025E-3</v>
      </c>
      <c r="J66" s="349" t="b">
        <v>1</v>
      </c>
      <c r="K66" s="339" t="b">
        <v>1</v>
      </c>
    </row>
    <row r="67" spans="2:11" ht="17" x14ac:dyDescent="0.2">
      <c r="B67" s="337" t="s">
        <v>1400</v>
      </c>
      <c r="C67" s="346" t="s">
        <v>1401</v>
      </c>
      <c r="D67" s="338" t="s">
        <v>961</v>
      </c>
      <c r="E67" s="347">
        <v>0.13370000000000001</v>
      </c>
      <c r="F67" s="347">
        <v>2.9420000000000002E-2</v>
      </c>
      <c r="G67" s="348">
        <v>5.48E-6</v>
      </c>
      <c r="H67" s="347">
        <v>4.1950000000000001E-2</v>
      </c>
      <c r="I67" s="347">
        <v>1.91E-3</v>
      </c>
      <c r="J67" s="349" t="b">
        <v>1</v>
      </c>
      <c r="K67" s="339" t="b">
        <v>1</v>
      </c>
    </row>
    <row r="68" spans="2:11" ht="17" x14ac:dyDescent="0.2">
      <c r="B68" s="337" t="s">
        <v>1398</v>
      </c>
      <c r="C68" s="346" t="s">
        <v>551</v>
      </c>
      <c r="D68" s="338" t="s">
        <v>961</v>
      </c>
      <c r="E68" s="347">
        <v>0.13239999999999999</v>
      </c>
      <c r="F68" s="347">
        <v>2.8410000000000001E-2</v>
      </c>
      <c r="G68" s="348">
        <v>3.163E-6</v>
      </c>
      <c r="H68" s="347">
        <v>0.11990000000000001</v>
      </c>
      <c r="I68" s="347">
        <v>5.0689999999999997E-3</v>
      </c>
      <c r="J68" s="349" t="b">
        <v>1</v>
      </c>
      <c r="K68" s="339" t="b">
        <v>1</v>
      </c>
    </row>
    <row r="69" spans="2:11" ht="17" x14ac:dyDescent="0.2">
      <c r="B69" s="337" t="s">
        <v>1397</v>
      </c>
      <c r="C69" s="346" t="s">
        <v>551</v>
      </c>
      <c r="D69" s="338" t="s">
        <v>960</v>
      </c>
      <c r="E69" s="347">
        <v>0.13159999999999999</v>
      </c>
      <c r="F69" s="347">
        <v>3.2410000000000001E-2</v>
      </c>
      <c r="G69" s="348">
        <v>4.8900000000000003E-5</v>
      </c>
      <c r="H69" s="347">
        <v>4.7739999999999998E-2</v>
      </c>
      <c r="I69" s="347">
        <v>3.2190000000000001E-3</v>
      </c>
      <c r="J69" s="349" t="b">
        <v>1</v>
      </c>
      <c r="K69" s="339" t="b">
        <v>1</v>
      </c>
    </row>
    <row r="70" spans="2:11" ht="17" x14ac:dyDescent="0.2">
      <c r="B70" s="337" t="s">
        <v>1388</v>
      </c>
      <c r="C70" s="346" t="s">
        <v>551</v>
      </c>
      <c r="D70" s="338" t="s">
        <v>960</v>
      </c>
      <c r="E70" s="347">
        <v>0.12809999999999999</v>
      </c>
      <c r="F70" s="347">
        <v>2.9850000000000002E-2</v>
      </c>
      <c r="G70" s="348">
        <v>1.7629999999999999E-5</v>
      </c>
      <c r="H70" s="347">
        <v>3.542E-2</v>
      </c>
      <c r="I70" s="347">
        <v>1.913E-3</v>
      </c>
      <c r="J70" s="349" t="b">
        <v>1</v>
      </c>
      <c r="K70" s="339" t="b">
        <v>1</v>
      </c>
    </row>
    <row r="71" spans="2:11" ht="17" x14ac:dyDescent="0.2">
      <c r="B71" s="337" t="s">
        <v>1383</v>
      </c>
      <c r="C71" s="346" t="s">
        <v>990</v>
      </c>
      <c r="D71" s="338" t="s">
        <v>965</v>
      </c>
      <c r="E71" s="347">
        <v>0.1211</v>
      </c>
      <c r="F71" s="347">
        <v>2.81E-2</v>
      </c>
      <c r="G71" s="348">
        <v>1.6269999999999998E-5</v>
      </c>
      <c r="H71" s="347">
        <v>9.8519999999999996E-2</v>
      </c>
      <c r="I71" s="347">
        <v>2.1829999999999999E-2</v>
      </c>
      <c r="J71" s="349" t="b">
        <v>1</v>
      </c>
      <c r="K71" s="339" t="b">
        <v>1</v>
      </c>
    </row>
    <row r="72" spans="2:11" ht="17" x14ac:dyDescent="0.2">
      <c r="B72" s="337" t="s">
        <v>1359</v>
      </c>
      <c r="C72" s="346" t="s">
        <v>551</v>
      </c>
      <c r="D72" s="338" t="s">
        <v>965</v>
      </c>
      <c r="E72" s="347">
        <v>0.108</v>
      </c>
      <c r="F72" s="347">
        <v>2.0580000000000001E-2</v>
      </c>
      <c r="G72" s="348">
        <v>1.568E-7</v>
      </c>
      <c r="H72" s="347">
        <v>0.2616</v>
      </c>
      <c r="I72" s="347">
        <v>1.0330000000000001E-2</v>
      </c>
      <c r="J72" s="349" t="b">
        <v>1</v>
      </c>
      <c r="K72" s="339" t="b">
        <v>1</v>
      </c>
    </row>
    <row r="73" spans="2:11" ht="17" x14ac:dyDescent="0.2">
      <c r="B73" s="337" t="s">
        <v>1360</v>
      </c>
      <c r="C73" s="346" t="s">
        <v>551</v>
      </c>
      <c r="D73" s="338" t="s">
        <v>965</v>
      </c>
      <c r="E73" s="347">
        <v>0.108</v>
      </c>
      <c r="F73" s="347">
        <v>2.06E-2</v>
      </c>
      <c r="G73" s="348">
        <v>1.5900000000000001E-7</v>
      </c>
      <c r="H73" s="347">
        <v>0.2616</v>
      </c>
      <c r="I73" s="347">
        <v>1.0319999999999999E-2</v>
      </c>
      <c r="J73" s="349" t="b">
        <v>1</v>
      </c>
      <c r="K73" s="339" t="b">
        <v>1</v>
      </c>
    </row>
    <row r="74" spans="2:11" ht="17" x14ac:dyDescent="0.2">
      <c r="B74" s="337" t="s">
        <v>1358</v>
      </c>
      <c r="C74" s="346" t="s">
        <v>551</v>
      </c>
      <c r="D74" s="338" t="s">
        <v>965</v>
      </c>
      <c r="E74" s="347">
        <v>0.1079</v>
      </c>
      <c r="F74" s="347">
        <v>2.1299999999999999E-2</v>
      </c>
      <c r="G74" s="348">
        <v>4.1250000000000002E-7</v>
      </c>
      <c r="H74" s="347">
        <v>0.25800000000000001</v>
      </c>
      <c r="I74" s="347">
        <v>1.026E-2</v>
      </c>
      <c r="J74" s="349" t="b">
        <v>1</v>
      </c>
      <c r="K74" s="339" t="b">
        <v>1</v>
      </c>
    </row>
    <row r="75" spans="2:11" ht="17" x14ac:dyDescent="0.2">
      <c r="B75" s="337" t="s">
        <v>1357</v>
      </c>
      <c r="C75" s="346" t="s">
        <v>551</v>
      </c>
      <c r="D75" s="338" t="s">
        <v>965</v>
      </c>
      <c r="E75" s="347">
        <v>0.1072</v>
      </c>
      <c r="F75" s="347">
        <v>2.121E-2</v>
      </c>
      <c r="G75" s="348">
        <v>4.341E-7</v>
      </c>
      <c r="H75" s="347">
        <v>0.25769999999999998</v>
      </c>
      <c r="I75" s="347">
        <v>1.023E-2</v>
      </c>
      <c r="J75" s="349" t="b">
        <v>1</v>
      </c>
      <c r="K75" s="339" t="b">
        <v>1</v>
      </c>
    </row>
    <row r="76" spans="2:11" ht="17" x14ac:dyDescent="0.2">
      <c r="B76" s="337" t="s">
        <v>1355</v>
      </c>
      <c r="C76" s="346" t="s">
        <v>551</v>
      </c>
      <c r="D76" s="338" t="s">
        <v>965</v>
      </c>
      <c r="E76" s="347">
        <v>0.105</v>
      </c>
      <c r="F76" s="347">
        <v>2.0729999999999998E-2</v>
      </c>
      <c r="G76" s="348">
        <v>4.017E-7</v>
      </c>
      <c r="H76" s="347">
        <v>0.28029999999999999</v>
      </c>
      <c r="I76" s="347">
        <v>1.115E-2</v>
      </c>
      <c r="J76" s="349" t="b">
        <v>1</v>
      </c>
      <c r="K76" s="339" t="b">
        <v>1</v>
      </c>
    </row>
    <row r="77" spans="2:11" ht="17" x14ac:dyDescent="0.2">
      <c r="B77" s="337" t="s">
        <v>1342</v>
      </c>
      <c r="C77" s="346" t="s">
        <v>551</v>
      </c>
      <c r="D77" s="338" t="s">
        <v>965</v>
      </c>
      <c r="E77" s="347">
        <v>9.8500000000000004E-2</v>
      </c>
      <c r="F77" s="347">
        <v>2.1139999999999999E-2</v>
      </c>
      <c r="G77" s="348">
        <v>3.1779999999999999E-6</v>
      </c>
      <c r="H77" s="347">
        <v>0.26050000000000001</v>
      </c>
      <c r="I77" s="347">
        <v>1.0359999999999999E-2</v>
      </c>
      <c r="J77" s="349" t="b">
        <v>1</v>
      </c>
      <c r="K77" s="339" t="b">
        <v>1</v>
      </c>
    </row>
    <row r="78" spans="2:11" ht="17" x14ac:dyDescent="0.2">
      <c r="B78" s="337" t="s">
        <v>1340</v>
      </c>
      <c r="C78" s="346" t="s">
        <v>551</v>
      </c>
      <c r="D78" s="338" t="s">
        <v>965</v>
      </c>
      <c r="E78" s="347">
        <v>9.801E-2</v>
      </c>
      <c r="F78" s="347">
        <v>2.1049999999999999E-2</v>
      </c>
      <c r="G78" s="348">
        <v>3.219E-6</v>
      </c>
      <c r="H78" s="347">
        <v>0.2611</v>
      </c>
      <c r="I78" s="347">
        <v>1.035E-2</v>
      </c>
      <c r="J78" s="349" t="b">
        <v>1</v>
      </c>
      <c r="K78" s="339" t="b">
        <v>1</v>
      </c>
    </row>
    <row r="79" spans="2:11" ht="17" x14ac:dyDescent="0.2">
      <c r="B79" s="337" t="s">
        <v>1336</v>
      </c>
      <c r="C79" s="346" t="s">
        <v>551</v>
      </c>
      <c r="D79" s="338" t="s">
        <v>965</v>
      </c>
      <c r="E79" s="347">
        <v>9.7089999999999996E-2</v>
      </c>
      <c r="F79" s="347">
        <v>2.068E-2</v>
      </c>
      <c r="G79" s="348">
        <v>2.6529999999999998E-6</v>
      </c>
      <c r="H79" s="347">
        <v>0.26179999999999998</v>
      </c>
      <c r="I79" s="347">
        <v>1.0460000000000001E-2</v>
      </c>
      <c r="J79" s="349" t="b">
        <v>1</v>
      </c>
      <c r="K79" s="339" t="b">
        <v>1</v>
      </c>
    </row>
    <row r="80" spans="2:11" ht="17" x14ac:dyDescent="0.2">
      <c r="B80" s="350" t="s">
        <v>1333</v>
      </c>
      <c r="C80" s="351" t="s">
        <v>551</v>
      </c>
      <c r="D80" s="352" t="s">
        <v>965</v>
      </c>
      <c r="E80" s="232">
        <v>9.6409999999999996E-2</v>
      </c>
      <c r="F80" s="232">
        <v>2.0660000000000001E-2</v>
      </c>
      <c r="G80" s="236">
        <v>3.067E-6</v>
      </c>
      <c r="H80" s="232">
        <v>0.26190000000000002</v>
      </c>
      <c r="I80" s="232">
        <v>1.0460000000000001E-2</v>
      </c>
      <c r="J80" s="230" t="b">
        <v>1</v>
      </c>
      <c r="K80" s="231" t="b">
        <v>1</v>
      </c>
    </row>
    <row r="81" spans="2:11" ht="17" x14ac:dyDescent="0.2">
      <c r="B81" s="353" t="s">
        <v>1016</v>
      </c>
      <c r="C81" s="354" t="s">
        <v>551</v>
      </c>
      <c r="D81" s="355" t="s">
        <v>965</v>
      </c>
      <c r="E81" s="356">
        <v>-8.2479999999999998E-2</v>
      </c>
      <c r="F81" s="356">
        <v>2.0760000000000001E-2</v>
      </c>
      <c r="G81" s="357">
        <v>7.114E-5</v>
      </c>
      <c r="H81" s="356">
        <v>0.2319</v>
      </c>
      <c r="I81" s="356">
        <v>8.9529999999999992E-3</v>
      </c>
      <c r="J81" s="358" t="b">
        <v>1</v>
      </c>
      <c r="K81" s="359" t="b">
        <v>1</v>
      </c>
    </row>
    <row r="82" spans="2:11" ht="17" x14ac:dyDescent="0.2">
      <c r="B82" s="340" t="s">
        <v>1010</v>
      </c>
      <c r="C82" s="360" t="s">
        <v>551</v>
      </c>
      <c r="D82" s="341" t="s">
        <v>965</v>
      </c>
      <c r="E82" s="361">
        <v>-9.887E-2</v>
      </c>
      <c r="F82" s="361">
        <v>2.1160000000000002E-2</v>
      </c>
      <c r="G82" s="362">
        <v>2.9799999999999998E-6</v>
      </c>
      <c r="H82" s="361">
        <v>0.25140000000000001</v>
      </c>
      <c r="I82" s="361">
        <v>9.1450000000000004E-3</v>
      </c>
      <c r="J82" s="363" t="b">
        <v>1</v>
      </c>
      <c r="K82" s="342" t="b">
        <v>1</v>
      </c>
    </row>
    <row r="83" spans="2:11" ht="17" x14ac:dyDescent="0.2">
      <c r="B83" s="340" t="s">
        <v>1008</v>
      </c>
      <c r="C83" s="360" t="s">
        <v>551</v>
      </c>
      <c r="D83" s="341" t="s">
        <v>965</v>
      </c>
      <c r="E83" s="361">
        <v>-0.1016</v>
      </c>
      <c r="F83" s="361">
        <v>2.1829999999999999E-2</v>
      </c>
      <c r="G83" s="362">
        <v>3.2100000000000002E-6</v>
      </c>
      <c r="H83" s="361">
        <v>0.21829999999999999</v>
      </c>
      <c r="I83" s="361">
        <v>7.5310000000000004E-3</v>
      </c>
      <c r="J83" s="363" t="b">
        <v>1</v>
      </c>
      <c r="K83" s="342" t="b">
        <v>1</v>
      </c>
    </row>
    <row r="84" spans="2:11" ht="17" x14ac:dyDescent="0.2">
      <c r="B84" s="340" t="s">
        <v>1007</v>
      </c>
      <c r="C84" s="360" t="s">
        <v>551</v>
      </c>
      <c r="D84" s="341" t="s">
        <v>965</v>
      </c>
      <c r="E84" s="361">
        <v>-0.1033</v>
      </c>
      <c r="F84" s="361">
        <v>2.1839999999999998E-2</v>
      </c>
      <c r="G84" s="362">
        <v>2.227E-6</v>
      </c>
      <c r="H84" s="361">
        <v>0.22220000000000001</v>
      </c>
      <c r="I84" s="361">
        <v>7.8410000000000007E-3</v>
      </c>
      <c r="J84" s="363" t="b">
        <v>1</v>
      </c>
      <c r="K84" s="342" t="b">
        <v>1</v>
      </c>
    </row>
    <row r="85" spans="2:11" ht="17" x14ac:dyDescent="0.2">
      <c r="B85" s="340" t="s">
        <v>1002</v>
      </c>
      <c r="C85" s="360" t="s">
        <v>981</v>
      </c>
      <c r="D85" s="341" t="s">
        <v>965</v>
      </c>
      <c r="E85" s="361">
        <v>-0.11749999999999999</v>
      </c>
      <c r="F85" s="361">
        <v>2.2280000000000001E-2</v>
      </c>
      <c r="G85" s="362">
        <v>1.342E-7</v>
      </c>
      <c r="H85" s="361">
        <v>0.19889999999999999</v>
      </c>
      <c r="I85" s="361">
        <v>6.8999999999999999E-3</v>
      </c>
      <c r="J85" s="363" t="b">
        <v>1</v>
      </c>
      <c r="K85" s="342" t="b">
        <v>1</v>
      </c>
    </row>
    <row r="86" spans="2:11" ht="17" x14ac:dyDescent="0.2">
      <c r="B86" s="340" t="s">
        <v>1001</v>
      </c>
      <c r="C86" s="360" t="s">
        <v>551</v>
      </c>
      <c r="D86" s="341" t="s">
        <v>965</v>
      </c>
      <c r="E86" s="361">
        <v>-0.12520000000000001</v>
      </c>
      <c r="F86" s="361">
        <v>2.6589999999999999E-2</v>
      </c>
      <c r="G86" s="362">
        <v>2.481E-6</v>
      </c>
      <c r="H86" s="361">
        <v>0.2286</v>
      </c>
      <c r="I86" s="361">
        <v>1.031E-2</v>
      </c>
      <c r="J86" s="363" t="b">
        <v>1</v>
      </c>
      <c r="K86" s="342" t="b">
        <v>1</v>
      </c>
    </row>
    <row r="87" spans="2:11" ht="17" x14ac:dyDescent="0.2">
      <c r="B87" s="340" t="s">
        <v>998</v>
      </c>
      <c r="C87" s="360" t="s">
        <v>551</v>
      </c>
      <c r="D87" s="341" t="s">
        <v>965</v>
      </c>
      <c r="E87" s="361">
        <v>-0.13700000000000001</v>
      </c>
      <c r="F87" s="361">
        <v>2.4729999999999999E-2</v>
      </c>
      <c r="G87" s="362">
        <v>3.0479999999999999E-8</v>
      </c>
      <c r="H87" s="361">
        <v>0.18609999999999999</v>
      </c>
      <c r="I87" s="361">
        <v>7.7390000000000002E-3</v>
      </c>
      <c r="J87" s="363" t="b">
        <v>1</v>
      </c>
      <c r="K87" s="342" t="b">
        <v>1</v>
      </c>
    </row>
    <row r="88" spans="2:11" ht="17" x14ac:dyDescent="0.2">
      <c r="B88" s="340" t="s">
        <v>997</v>
      </c>
      <c r="C88" s="360" t="s">
        <v>551</v>
      </c>
      <c r="D88" s="341" t="s">
        <v>965</v>
      </c>
      <c r="E88" s="361">
        <v>-0.1371</v>
      </c>
      <c r="F88" s="361">
        <v>2.486E-2</v>
      </c>
      <c r="G88" s="362">
        <v>3.4590000000000001E-8</v>
      </c>
      <c r="H88" s="361">
        <v>0.18590000000000001</v>
      </c>
      <c r="I88" s="361">
        <v>7.1199999999999996E-3</v>
      </c>
      <c r="J88" s="363" t="b">
        <v>1</v>
      </c>
      <c r="K88" s="342" t="b">
        <v>1</v>
      </c>
    </row>
    <row r="89" spans="2:11" ht="17" x14ac:dyDescent="0.2">
      <c r="B89" s="340" t="s">
        <v>994</v>
      </c>
      <c r="C89" s="360" t="s">
        <v>551</v>
      </c>
      <c r="D89" s="341" t="s">
        <v>965</v>
      </c>
      <c r="E89" s="361">
        <v>-0.1414</v>
      </c>
      <c r="F89" s="361">
        <v>2.469E-2</v>
      </c>
      <c r="G89" s="362">
        <v>1.036E-8</v>
      </c>
      <c r="H89" s="361">
        <v>0.2326</v>
      </c>
      <c r="I89" s="361">
        <v>9.809E-3</v>
      </c>
      <c r="J89" s="363" t="b">
        <v>1</v>
      </c>
      <c r="K89" s="342" t="b">
        <v>1</v>
      </c>
    </row>
    <row r="90" spans="2:11" ht="17" x14ac:dyDescent="0.2">
      <c r="B90" s="340" t="s">
        <v>991</v>
      </c>
      <c r="C90" s="360" t="s">
        <v>551</v>
      </c>
      <c r="D90" s="341" t="s">
        <v>965</v>
      </c>
      <c r="E90" s="361">
        <v>-0.1439</v>
      </c>
      <c r="F90" s="361">
        <v>2.5899999999999999E-2</v>
      </c>
      <c r="G90" s="362">
        <v>2.7730000000000001E-8</v>
      </c>
      <c r="H90" s="361">
        <v>0.21060000000000001</v>
      </c>
      <c r="I90" s="361">
        <v>8.2730000000000008E-3</v>
      </c>
      <c r="J90" s="363" t="b">
        <v>1</v>
      </c>
      <c r="K90" s="342" t="b">
        <v>1</v>
      </c>
    </row>
    <row r="91" spans="2:11" ht="34" x14ac:dyDescent="0.2">
      <c r="B91" s="340" t="s">
        <v>987</v>
      </c>
      <c r="C91" s="360" t="s">
        <v>551</v>
      </c>
      <c r="D91" s="341" t="s">
        <v>965</v>
      </c>
      <c r="E91" s="361">
        <v>-0.1545</v>
      </c>
      <c r="F91" s="361">
        <v>3.0939999999999999E-2</v>
      </c>
      <c r="G91" s="362">
        <v>5.9019999999999998E-7</v>
      </c>
      <c r="H91" s="361">
        <v>0.19309999999999999</v>
      </c>
      <c r="I91" s="361">
        <v>9.1809999999999999E-3</v>
      </c>
      <c r="J91" s="363" t="b">
        <v>1</v>
      </c>
      <c r="K91" s="342" t="b">
        <v>1</v>
      </c>
    </row>
    <row r="92" spans="2:11" ht="17" x14ac:dyDescent="0.2">
      <c r="B92" s="340" t="s">
        <v>986</v>
      </c>
      <c r="C92" s="360" t="s">
        <v>551</v>
      </c>
      <c r="D92" s="341" t="s">
        <v>960</v>
      </c>
      <c r="E92" s="361">
        <v>-0.15870000000000001</v>
      </c>
      <c r="F92" s="361">
        <v>3.4709999999999998E-2</v>
      </c>
      <c r="G92" s="362">
        <v>4.8239999999999999E-6</v>
      </c>
      <c r="H92" s="361">
        <v>9.2060000000000003E-2</v>
      </c>
      <c r="I92" s="361">
        <v>5.849E-3</v>
      </c>
      <c r="J92" s="363" t="b">
        <v>1</v>
      </c>
      <c r="K92" s="342" t="b">
        <v>1</v>
      </c>
    </row>
    <row r="93" spans="2:11" ht="17" x14ac:dyDescent="0.2">
      <c r="B93" s="340" t="s">
        <v>980</v>
      </c>
      <c r="C93" s="360" t="s">
        <v>981</v>
      </c>
      <c r="D93" s="341" t="s">
        <v>960</v>
      </c>
      <c r="E93" s="361">
        <v>-0.1731</v>
      </c>
      <c r="F93" s="361">
        <v>2.308E-2</v>
      </c>
      <c r="G93" s="362">
        <v>6.3589999999999997E-14</v>
      </c>
      <c r="H93" s="361">
        <v>0.11210000000000001</v>
      </c>
      <c r="I93" s="361">
        <v>3.2060000000000001E-3</v>
      </c>
      <c r="J93" s="363" t="b">
        <v>1</v>
      </c>
      <c r="K93" s="342" t="b">
        <v>1</v>
      </c>
    </row>
    <row r="94" spans="2:11" ht="17" x14ac:dyDescent="0.2">
      <c r="B94" s="340" t="s">
        <v>977</v>
      </c>
      <c r="C94" s="360" t="s">
        <v>551</v>
      </c>
      <c r="D94" s="341" t="s">
        <v>960</v>
      </c>
      <c r="E94" s="361">
        <v>-0.1825</v>
      </c>
      <c r="F94" s="361">
        <v>4.5789999999999997E-2</v>
      </c>
      <c r="G94" s="362">
        <v>6.7349999999999997E-5</v>
      </c>
      <c r="H94" s="361">
        <v>2.7279999999999999E-2</v>
      </c>
      <c r="I94" s="361">
        <v>2.8449999999999999E-3</v>
      </c>
      <c r="J94" s="363" t="b">
        <v>1</v>
      </c>
      <c r="K94" s="342" t="b">
        <v>1</v>
      </c>
    </row>
    <row r="95" spans="2:11" ht="17" x14ac:dyDescent="0.2">
      <c r="B95" s="340" t="s">
        <v>976</v>
      </c>
      <c r="C95" s="360" t="s">
        <v>551</v>
      </c>
      <c r="D95" s="341" t="s">
        <v>960</v>
      </c>
      <c r="E95" s="361">
        <v>-0.18629999999999999</v>
      </c>
      <c r="F95" s="361">
        <v>2.5899999999999999E-2</v>
      </c>
      <c r="G95" s="362">
        <v>6.3419999999999996E-13</v>
      </c>
      <c r="H95" s="361">
        <v>0.12759999999999999</v>
      </c>
      <c r="I95" s="361">
        <v>4.9290000000000002E-3</v>
      </c>
      <c r="J95" s="363" t="b">
        <v>1</v>
      </c>
      <c r="K95" s="342" t="b">
        <v>1</v>
      </c>
    </row>
    <row r="96" spans="2:11" ht="17" x14ac:dyDescent="0.2">
      <c r="B96" s="340" t="s">
        <v>975</v>
      </c>
      <c r="C96" s="360" t="s">
        <v>551</v>
      </c>
      <c r="D96" s="341" t="s">
        <v>960</v>
      </c>
      <c r="E96" s="361">
        <v>-0.18909999999999999</v>
      </c>
      <c r="F96" s="361">
        <v>4.308E-2</v>
      </c>
      <c r="G96" s="362">
        <v>1.135E-5</v>
      </c>
      <c r="H96" s="361">
        <v>4.7350000000000003E-2</v>
      </c>
      <c r="I96" s="361">
        <v>3.9240000000000004E-3</v>
      </c>
      <c r="J96" s="363" t="b">
        <v>1</v>
      </c>
      <c r="K96" s="342" t="b">
        <v>1</v>
      </c>
    </row>
    <row r="97" spans="2:11" ht="17" x14ac:dyDescent="0.2">
      <c r="B97" s="340" t="s">
        <v>974</v>
      </c>
      <c r="C97" s="360" t="s">
        <v>551</v>
      </c>
      <c r="D97" s="341" t="s">
        <v>960</v>
      </c>
      <c r="E97" s="361">
        <v>-0.191</v>
      </c>
      <c r="F97" s="361">
        <v>2.896E-2</v>
      </c>
      <c r="G97" s="362">
        <v>4.2460000000000001E-11</v>
      </c>
      <c r="H97" s="361">
        <v>0.17150000000000001</v>
      </c>
      <c r="I97" s="361">
        <v>7.5770000000000004E-3</v>
      </c>
      <c r="J97" s="363" t="b">
        <v>1</v>
      </c>
      <c r="K97" s="342" t="b">
        <v>1</v>
      </c>
    </row>
    <row r="98" spans="2:11" ht="17" x14ac:dyDescent="0.2">
      <c r="B98" s="340" t="s">
        <v>967</v>
      </c>
      <c r="C98" s="360" t="s">
        <v>551</v>
      </c>
      <c r="D98" s="341" t="s">
        <v>965</v>
      </c>
      <c r="E98" s="361">
        <v>-0.25259999999999999</v>
      </c>
      <c r="F98" s="361">
        <v>5.246E-2</v>
      </c>
      <c r="G98" s="362">
        <v>1.4729999999999999E-6</v>
      </c>
      <c r="H98" s="361">
        <v>2.8490000000000001E-2</v>
      </c>
      <c r="I98" s="361">
        <v>4.4980000000000003E-3</v>
      </c>
      <c r="J98" s="363" t="b">
        <v>1</v>
      </c>
      <c r="K98" s="342" t="b">
        <v>1</v>
      </c>
    </row>
    <row r="99" spans="2:11" ht="17" x14ac:dyDescent="0.2">
      <c r="B99" s="364" t="s">
        <v>962</v>
      </c>
      <c r="C99" s="365" t="s">
        <v>551</v>
      </c>
      <c r="D99" s="366" t="s">
        <v>960</v>
      </c>
      <c r="E99" s="367">
        <v>-0.29339999999999999</v>
      </c>
      <c r="F99" s="367">
        <v>6.1609999999999998E-2</v>
      </c>
      <c r="G99" s="368">
        <v>1.906E-6</v>
      </c>
      <c r="H99" s="367">
        <v>1.553E-2</v>
      </c>
      <c r="I99" s="367">
        <v>2.5349999999999999E-3</v>
      </c>
      <c r="J99" s="369" t="b">
        <v>1</v>
      </c>
      <c r="K99" s="370" t="b">
        <v>1</v>
      </c>
    </row>
    <row r="100" spans="2:11" ht="17" x14ac:dyDescent="0.2">
      <c r="B100" s="335" t="s">
        <v>1565</v>
      </c>
      <c r="C100" s="38" t="s">
        <v>551</v>
      </c>
      <c r="D100" s="166" t="s">
        <v>961</v>
      </c>
      <c r="E100" s="163">
        <v>0.4007</v>
      </c>
      <c r="F100" s="163">
        <v>0.1203</v>
      </c>
      <c r="G100" s="151">
        <v>8.6910000000000004E-4</v>
      </c>
      <c r="H100" s="163">
        <v>3.2360000000000002E-3</v>
      </c>
      <c r="I100" s="163">
        <v>1.3810000000000001E-3</v>
      </c>
      <c r="J100" s="31" t="b">
        <v>0</v>
      </c>
      <c r="K100" s="32" t="b">
        <v>0</v>
      </c>
    </row>
    <row r="101" spans="2:11" ht="17" x14ac:dyDescent="0.2">
      <c r="B101" s="335" t="s">
        <v>1564</v>
      </c>
      <c r="C101" s="38" t="s">
        <v>551</v>
      </c>
      <c r="D101" s="166" t="s">
        <v>961</v>
      </c>
      <c r="E101" s="163">
        <v>0.3876</v>
      </c>
      <c r="F101" s="163">
        <v>0.12180000000000001</v>
      </c>
      <c r="G101" s="270">
        <v>1.469E-3</v>
      </c>
      <c r="H101" s="163">
        <v>3.952E-2</v>
      </c>
      <c r="I101" s="163">
        <v>1.8010000000000002E-2</v>
      </c>
      <c r="J101" s="31" t="b">
        <v>0</v>
      </c>
      <c r="K101" s="32" t="b">
        <v>0</v>
      </c>
    </row>
    <row r="102" spans="2:11" ht="17" x14ac:dyDescent="0.2">
      <c r="B102" s="335" t="s">
        <v>1563</v>
      </c>
      <c r="C102" s="38" t="s">
        <v>551</v>
      </c>
      <c r="D102" s="166" t="s">
        <v>961</v>
      </c>
      <c r="E102" s="163">
        <v>0.34699999999999998</v>
      </c>
      <c r="F102" s="163">
        <v>0.1036</v>
      </c>
      <c r="G102" s="151">
        <v>8.1240000000000001E-4</v>
      </c>
      <c r="H102" s="163">
        <v>3.509E-3</v>
      </c>
      <c r="I102" s="163">
        <v>1.3110000000000001E-3</v>
      </c>
      <c r="J102" s="31" t="b">
        <v>0</v>
      </c>
      <c r="K102" s="32" t="b">
        <v>0</v>
      </c>
    </row>
    <row r="103" spans="2:11" ht="17" x14ac:dyDescent="0.2">
      <c r="B103" s="335" t="s">
        <v>1561</v>
      </c>
      <c r="C103" s="38" t="s">
        <v>551</v>
      </c>
      <c r="D103" s="166" t="s">
        <v>961</v>
      </c>
      <c r="E103" s="163">
        <v>0.32790000000000002</v>
      </c>
      <c r="F103" s="163">
        <v>9.7610000000000002E-2</v>
      </c>
      <c r="G103" s="151">
        <v>7.8160000000000002E-4</v>
      </c>
      <c r="H103" s="163">
        <v>4.0119999999999999E-3</v>
      </c>
      <c r="I103" s="163">
        <v>1.279E-3</v>
      </c>
      <c r="J103" s="31" t="b">
        <v>0</v>
      </c>
      <c r="K103" s="32" t="b">
        <v>0</v>
      </c>
    </row>
    <row r="104" spans="2:11" ht="34" x14ac:dyDescent="0.2">
      <c r="B104" s="335" t="s">
        <v>1560</v>
      </c>
      <c r="C104" s="38" t="s">
        <v>551</v>
      </c>
      <c r="D104" s="166" t="s">
        <v>961</v>
      </c>
      <c r="E104" s="163">
        <v>0.32769999999999999</v>
      </c>
      <c r="F104" s="163">
        <v>0.10929999999999999</v>
      </c>
      <c r="G104" s="270">
        <v>2.7079999999999999E-3</v>
      </c>
      <c r="H104" s="163">
        <v>3.0049999999999999E-3</v>
      </c>
      <c r="I104" s="163">
        <v>1.4300000000000001E-3</v>
      </c>
      <c r="J104" s="31" t="b">
        <v>0</v>
      </c>
      <c r="K104" s="32" t="b">
        <v>0</v>
      </c>
    </row>
    <row r="105" spans="2:11" ht="17" x14ac:dyDescent="0.2">
      <c r="B105" s="335" t="s">
        <v>1557</v>
      </c>
      <c r="C105" s="38" t="s">
        <v>551</v>
      </c>
      <c r="D105" s="166" t="s">
        <v>961</v>
      </c>
      <c r="E105" s="163">
        <v>0.31459999999999999</v>
      </c>
      <c r="F105" s="163">
        <v>0.10489999999999999</v>
      </c>
      <c r="G105" s="270">
        <v>2.7079999999999999E-3</v>
      </c>
      <c r="H105" s="163">
        <v>2.928E-3</v>
      </c>
      <c r="I105" s="163">
        <v>1.3179999999999999E-3</v>
      </c>
      <c r="J105" s="31" t="b">
        <v>0</v>
      </c>
      <c r="K105" s="32" t="b">
        <v>0</v>
      </c>
    </row>
    <row r="106" spans="2:11" ht="17" x14ac:dyDescent="0.2">
      <c r="B106" s="335" t="s">
        <v>1555</v>
      </c>
      <c r="C106" s="38" t="s">
        <v>964</v>
      </c>
      <c r="D106" s="166" t="s">
        <v>965</v>
      </c>
      <c r="E106" s="163">
        <v>0.30930000000000002</v>
      </c>
      <c r="F106" s="163">
        <v>0.4476</v>
      </c>
      <c r="G106" s="270">
        <v>0.48959999999999998</v>
      </c>
      <c r="H106" s="163">
        <v>1.9029999999999998E-2</v>
      </c>
      <c r="I106" s="163">
        <v>5.0299999999999997E-2</v>
      </c>
      <c r="J106" s="31" t="b">
        <v>0</v>
      </c>
      <c r="K106" s="32" t="b">
        <v>0</v>
      </c>
    </row>
    <row r="107" spans="2:11" ht="17" x14ac:dyDescent="0.2">
      <c r="B107" s="335" t="s">
        <v>1554</v>
      </c>
      <c r="C107" s="38" t="s">
        <v>551</v>
      </c>
      <c r="D107" s="166" t="s">
        <v>961</v>
      </c>
      <c r="E107" s="163">
        <v>0.30840000000000001</v>
      </c>
      <c r="F107" s="163">
        <v>9.0279999999999999E-2</v>
      </c>
      <c r="G107" s="151">
        <v>6.3630000000000002E-4</v>
      </c>
      <c r="H107" s="163">
        <v>5.0509999999999999E-3</v>
      </c>
      <c r="I107" s="163">
        <v>1.493E-3</v>
      </c>
      <c r="J107" s="31" t="b">
        <v>0</v>
      </c>
      <c r="K107" s="32" t="b">
        <v>0</v>
      </c>
    </row>
    <row r="108" spans="2:11" ht="17" x14ac:dyDescent="0.2">
      <c r="B108" s="335" t="s">
        <v>1553</v>
      </c>
      <c r="C108" s="38" t="s">
        <v>551</v>
      </c>
      <c r="D108" s="166" t="s">
        <v>961</v>
      </c>
      <c r="E108" s="163">
        <v>0.2974</v>
      </c>
      <c r="F108" s="163">
        <v>8.9980000000000004E-2</v>
      </c>
      <c r="G108" s="151">
        <v>9.5040000000000001E-4</v>
      </c>
      <c r="H108" s="163">
        <v>4.9890000000000004E-3</v>
      </c>
      <c r="I108" s="163">
        <v>1.4139999999999999E-3</v>
      </c>
      <c r="J108" s="31" t="b">
        <v>0</v>
      </c>
      <c r="K108" s="32" t="b">
        <v>0</v>
      </c>
    </row>
    <row r="109" spans="2:11" ht="17" x14ac:dyDescent="0.2">
      <c r="B109" s="335" t="s">
        <v>1552</v>
      </c>
      <c r="C109" s="38" t="s">
        <v>551</v>
      </c>
      <c r="D109" s="166" t="s">
        <v>961</v>
      </c>
      <c r="E109" s="163">
        <v>0.29249999999999998</v>
      </c>
      <c r="F109" s="163">
        <v>8.9609999999999995E-2</v>
      </c>
      <c r="G109" s="270">
        <v>1.0970000000000001E-3</v>
      </c>
      <c r="H109" s="163">
        <v>4.9109999999999996E-3</v>
      </c>
      <c r="I109" s="163">
        <v>1.397E-3</v>
      </c>
      <c r="J109" s="31" t="b">
        <v>0</v>
      </c>
      <c r="K109" s="32" t="b">
        <v>0</v>
      </c>
    </row>
    <row r="110" spans="2:11" ht="17" x14ac:dyDescent="0.2">
      <c r="B110" s="335" t="s">
        <v>1550</v>
      </c>
      <c r="C110" s="38" t="s">
        <v>551</v>
      </c>
      <c r="D110" s="166" t="s">
        <v>961</v>
      </c>
      <c r="E110" s="163">
        <v>0.28499999999999998</v>
      </c>
      <c r="F110" s="163">
        <v>0.1037</v>
      </c>
      <c r="G110" s="270">
        <v>6.012E-3</v>
      </c>
      <c r="H110" s="163">
        <v>3.173E-3</v>
      </c>
      <c r="I110" s="163">
        <v>1.227E-3</v>
      </c>
      <c r="J110" s="31" t="b">
        <v>0</v>
      </c>
      <c r="K110" s="32" t="b">
        <v>0</v>
      </c>
    </row>
    <row r="111" spans="2:11" ht="17" x14ac:dyDescent="0.2">
      <c r="B111" s="335" t="s">
        <v>1551</v>
      </c>
      <c r="C111" s="38" t="s">
        <v>551</v>
      </c>
      <c r="D111" s="166" t="s">
        <v>961</v>
      </c>
      <c r="E111" s="163">
        <v>0.28499999999999998</v>
      </c>
      <c r="F111" s="163">
        <v>0.1037</v>
      </c>
      <c r="G111" s="270">
        <v>6.012E-3</v>
      </c>
      <c r="H111" s="163">
        <v>3.173E-3</v>
      </c>
      <c r="I111" s="163">
        <v>1.227E-3</v>
      </c>
      <c r="J111" s="31" t="b">
        <v>0</v>
      </c>
      <c r="K111" s="32" t="b">
        <v>0</v>
      </c>
    </row>
    <row r="112" spans="2:11" ht="17" x14ac:dyDescent="0.2">
      <c r="B112" s="335" t="s">
        <v>1549</v>
      </c>
      <c r="C112" s="38" t="s">
        <v>551</v>
      </c>
      <c r="D112" s="166" t="s">
        <v>961</v>
      </c>
      <c r="E112" s="163">
        <v>0.28399999999999997</v>
      </c>
      <c r="F112" s="163">
        <v>7.2389999999999996E-2</v>
      </c>
      <c r="G112" s="151">
        <v>8.7410000000000005E-5</v>
      </c>
      <c r="H112" s="163">
        <v>6.5430000000000002E-3</v>
      </c>
      <c r="I112" s="163">
        <v>1.2719999999999999E-3</v>
      </c>
      <c r="J112" s="31" t="b">
        <v>0</v>
      </c>
      <c r="K112" s="32" t="b">
        <v>0</v>
      </c>
    </row>
    <row r="113" spans="2:11" ht="34" x14ac:dyDescent="0.2">
      <c r="B113" s="335" t="s">
        <v>1548</v>
      </c>
      <c r="C113" s="38" t="s">
        <v>551</v>
      </c>
      <c r="D113" s="166" t="s">
        <v>961</v>
      </c>
      <c r="E113" s="163">
        <v>0.28170000000000001</v>
      </c>
      <c r="F113" s="163">
        <v>0.1071</v>
      </c>
      <c r="G113" s="270">
        <v>8.5380000000000005E-3</v>
      </c>
      <c r="H113" s="163">
        <v>2.728E-3</v>
      </c>
      <c r="I113" s="163">
        <v>1.178E-3</v>
      </c>
      <c r="J113" s="31" t="b">
        <v>0</v>
      </c>
      <c r="K113" s="32" t="b">
        <v>0</v>
      </c>
    </row>
    <row r="114" spans="2:11" ht="17" x14ac:dyDescent="0.2">
      <c r="B114" s="335" t="s">
        <v>1547</v>
      </c>
      <c r="C114" s="38" t="s">
        <v>551</v>
      </c>
      <c r="D114" s="166" t="s">
        <v>961</v>
      </c>
      <c r="E114" s="163">
        <v>0.27910000000000001</v>
      </c>
      <c r="F114" s="163">
        <v>0.1358</v>
      </c>
      <c r="G114" s="270">
        <v>3.9870000000000003E-2</v>
      </c>
      <c r="H114" s="163">
        <v>2.173E-3</v>
      </c>
      <c r="I114" s="163">
        <v>1.176E-3</v>
      </c>
      <c r="J114" s="31" t="b">
        <v>0</v>
      </c>
      <c r="K114" s="32" t="b">
        <v>0</v>
      </c>
    </row>
    <row r="115" spans="2:11" ht="17" x14ac:dyDescent="0.2">
      <c r="B115" s="335" t="s">
        <v>1546</v>
      </c>
      <c r="C115" s="38" t="s">
        <v>551</v>
      </c>
      <c r="D115" s="166" t="s">
        <v>961</v>
      </c>
      <c r="E115" s="163">
        <v>0.26869999999999999</v>
      </c>
      <c r="F115" s="163">
        <v>0.1045</v>
      </c>
      <c r="G115" s="270">
        <v>1.0160000000000001E-2</v>
      </c>
      <c r="H115" s="163">
        <v>3.0769999999999999E-3</v>
      </c>
      <c r="I115" s="163">
        <v>1.31E-3</v>
      </c>
      <c r="J115" s="31" t="b">
        <v>0</v>
      </c>
      <c r="K115" s="32" t="b">
        <v>0</v>
      </c>
    </row>
    <row r="116" spans="2:11" ht="17" x14ac:dyDescent="0.2">
      <c r="B116" s="335" t="s">
        <v>1545</v>
      </c>
      <c r="C116" s="38" t="s">
        <v>551</v>
      </c>
      <c r="D116" s="166" t="s">
        <v>961</v>
      </c>
      <c r="E116" s="163">
        <v>0.26800000000000002</v>
      </c>
      <c r="F116" s="163">
        <v>8.0009999999999998E-2</v>
      </c>
      <c r="G116" s="151">
        <v>8.0769999999999995E-4</v>
      </c>
      <c r="H116" s="163">
        <v>4.3530000000000001E-3</v>
      </c>
      <c r="I116" s="163">
        <v>1.266E-3</v>
      </c>
      <c r="J116" s="31" t="b">
        <v>0</v>
      </c>
      <c r="K116" s="32" t="b">
        <v>0</v>
      </c>
    </row>
    <row r="117" spans="2:11" ht="17" x14ac:dyDescent="0.2">
      <c r="B117" s="335" t="s">
        <v>1544</v>
      </c>
      <c r="C117" s="38" t="s">
        <v>551</v>
      </c>
      <c r="D117" s="166" t="s">
        <v>961</v>
      </c>
      <c r="E117" s="163">
        <v>0.26700000000000002</v>
      </c>
      <c r="F117" s="163">
        <v>8.2320000000000004E-2</v>
      </c>
      <c r="G117" s="270">
        <v>1.183E-3</v>
      </c>
      <c r="H117" s="163">
        <v>4.6220000000000002E-3</v>
      </c>
      <c r="I117" s="163">
        <v>1.338E-3</v>
      </c>
      <c r="J117" s="31" t="b">
        <v>0</v>
      </c>
      <c r="K117" s="32" t="b">
        <v>0</v>
      </c>
    </row>
    <row r="118" spans="2:11" ht="17" x14ac:dyDescent="0.2">
      <c r="B118" s="335" t="s">
        <v>1542</v>
      </c>
      <c r="C118" s="38" t="s">
        <v>551</v>
      </c>
      <c r="D118" s="166" t="s">
        <v>961</v>
      </c>
      <c r="E118" s="163">
        <v>0.26390000000000002</v>
      </c>
      <c r="F118" s="163">
        <v>9.6629999999999994E-2</v>
      </c>
      <c r="G118" s="270">
        <v>6.3169999999999997E-3</v>
      </c>
      <c r="H118" s="163">
        <v>2.539E-3</v>
      </c>
      <c r="I118" s="163">
        <v>1.2589999999999999E-3</v>
      </c>
      <c r="J118" s="31" t="b">
        <v>0</v>
      </c>
      <c r="K118" s="32" t="b">
        <v>0</v>
      </c>
    </row>
    <row r="119" spans="2:11" ht="17" x14ac:dyDescent="0.2">
      <c r="B119" s="335" t="s">
        <v>1541</v>
      </c>
      <c r="C119" s="38" t="s">
        <v>551</v>
      </c>
      <c r="D119" s="166" t="s">
        <v>961</v>
      </c>
      <c r="E119" s="163">
        <v>0.25940000000000002</v>
      </c>
      <c r="F119" s="163">
        <v>9.5219999999999999E-2</v>
      </c>
      <c r="G119" s="270">
        <v>6.4409999999999997E-3</v>
      </c>
      <c r="H119" s="163">
        <v>1.2449999999999999E-2</v>
      </c>
      <c r="I119" s="163">
        <v>5.6140000000000001E-3</v>
      </c>
      <c r="J119" s="31" t="b">
        <v>0</v>
      </c>
      <c r="K119" s="32" t="b">
        <v>0</v>
      </c>
    </row>
    <row r="120" spans="2:11" ht="17" x14ac:dyDescent="0.2">
      <c r="B120" s="335" t="s">
        <v>1540</v>
      </c>
      <c r="C120" s="38" t="s">
        <v>551</v>
      </c>
      <c r="D120" s="166" t="s">
        <v>961</v>
      </c>
      <c r="E120" s="163">
        <v>0.25559999999999999</v>
      </c>
      <c r="F120" s="163">
        <v>0.12330000000000001</v>
      </c>
      <c r="G120" s="270">
        <v>3.8170000000000003E-2</v>
      </c>
      <c r="H120" s="163">
        <v>2.6689999999999999E-3</v>
      </c>
      <c r="I120" s="163">
        <v>1.3010000000000001E-3</v>
      </c>
      <c r="J120" s="31" t="b">
        <v>0</v>
      </c>
      <c r="K120" s="32" t="b">
        <v>0</v>
      </c>
    </row>
    <row r="121" spans="2:11" ht="17" x14ac:dyDescent="0.2">
      <c r="B121" s="335" t="s">
        <v>1539</v>
      </c>
      <c r="C121" s="38" t="s">
        <v>551</v>
      </c>
      <c r="D121" s="166" t="s">
        <v>961</v>
      </c>
      <c r="E121" s="163">
        <v>0.25440000000000002</v>
      </c>
      <c r="F121" s="163">
        <v>0.1071</v>
      </c>
      <c r="G121" s="270">
        <v>1.7569999999999999E-2</v>
      </c>
      <c r="H121" s="163">
        <v>2.7430000000000002E-3</v>
      </c>
      <c r="I121" s="163">
        <v>1.2229999999999999E-3</v>
      </c>
      <c r="J121" s="31" t="b">
        <v>0</v>
      </c>
      <c r="K121" s="32" t="b">
        <v>0</v>
      </c>
    </row>
    <row r="122" spans="2:11" ht="17" x14ac:dyDescent="0.2">
      <c r="B122" s="335" t="s">
        <v>1538</v>
      </c>
      <c r="C122" s="38" t="s">
        <v>551</v>
      </c>
      <c r="D122" s="166" t="s">
        <v>965</v>
      </c>
      <c r="E122" s="163">
        <v>0.25109999999999999</v>
      </c>
      <c r="F122" s="163">
        <v>9.8540000000000003E-2</v>
      </c>
      <c r="G122" s="270">
        <v>1.082E-2</v>
      </c>
      <c r="H122" s="163">
        <v>1.008E-2</v>
      </c>
      <c r="I122" s="163">
        <v>4.2880000000000001E-3</v>
      </c>
      <c r="J122" s="31" t="b">
        <v>0</v>
      </c>
      <c r="K122" s="32" t="b">
        <v>0</v>
      </c>
    </row>
    <row r="123" spans="2:11" ht="17" x14ac:dyDescent="0.2">
      <c r="B123" s="335" t="s">
        <v>1537</v>
      </c>
      <c r="C123" s="38" t="s">
        <v>551</v>
      </c>
      <c r="D123" s="166" t="s">
        <v>961</v>
      </c>
      <c r="E123" s="163">
        <v>0.24940000000000001</v>
      </c>
      <c r="F123" s="163">
        <v>7.1749999999999994E-2</v>
      </c>
      <c r="G123" s="151">
        <v>5.0920000000000002E-4</v>
      </c>
      <c r="H123" s="163">
        <v>5.1599999999999997E-3</v>
      </c>
      <c r="I123" s="163">
        <v>1.361E-3</v>
      </c>
      <c r="J123" s="31" t="b">
        <v>0</v>
      </c>
      <c r="K123" s="32" t="b">
        <v>0</v>
      </c>
    </row>
    <row r="124" spans="2:11" ht="17" x14ac:dyDescent="0.2">
      <c r="B124" s="335" t="s">
        <v>1534</v>
      </c>
      <c r="C124" s="38" t="s">
        <v>551</v>
      </c>
      <c r="D124" s="166" t="s">
        <v>961</v>
      </c>
      <c r="E124" s="163">
        <v>0.2422</v>
      </c>
      <c r="F124" s="163">
        <v>9.8610000000000003E-2</v>
      </c>
      <c r="G124" s="270">
        <v>1.405E-2</v>
      </c>
      <c r="H124" s="163">
        <v>3.6800000000000001E-3</v>
      </c>
      <c r="I124" s="163">
        <v>1.4270000000000001E-3</v>
      </c>
      <c r="J124" s="31" t="b">
        <v>0</v>
      </c>
      <c r="K124" s="32" t="b">
        <v>0</v>
      </c>
    </row>
    <row r="125" spans="2:11" ht="34" x14ac:dyDescent="0.2">
      <c r="B125" s="335" t="s">
        <v>1533</v>
      </c>
      <c r="C125" s="38" t="s">
        <v>551</v>
      </c>
      <c r="D125" s="166" t="s">
        <v>961</v>
      </c>
      <c r="E125" s="163">
        <v>0.23830000000000001</v>
      </c>
      <c r="F125" s="163">
        <v>9.6180000000000002E-2</v>
      </c>
      <c r="G125" s="270">
        <v>1.323E-2</v>
      </c>
      <c r="H125" s="163">
        <v>3.457E-3</v>
      </c>
      <c r="I125" s="163">
        <v>1.3090000000000001E-3</v>
      </c>
      <c r="J125" s="31" t="b">
        <v>0</v>
      </c>
      <c r="K125" s="32" t="b">
        <v>0</v>
      </c>
    </row>
    <row r="126" spans="2:11" ht="17" x14ac:dyDescent="0.2">
      <c r="B126" s="335" t="s">
        <v>1531</v>
      </c>
      <c r="C126" s="38" t="s">
        <v>551</v>
      </c>
      <c r="D126" s="166" t="s">
        <v>961</v>
      </c>
      <c r="E126" s="163">
        <v>0.2369</v>
      </c>
      <c r="F126" s="163">
        <v>8.9550000000000005E-2</v>
      </c>
      <c r="G126" s="270">
        <v>8.1700000000000002E-3</v>
      </c>
      <c r="H126" s="163">
        <v>4.0930000000000003E-3</v>
      </c>
      <c r="I126" s="163">
        <v>1.2960000000000001E-3</v>
      </c>
      <c r="J126" s="31" t="b">
        <v>0</v>
      </c>
      <c r="K126" s="32" t="b">
        <v>0</v>
      </c>
    </row>
    <row r="127" spans="2:11" ht="17" x14ac:dyDescent="0.2">
      <c r="B127" s="335" t="s">
        <v>1530</v>
      </c>
      <c r="C127" s="38" t="s">
        <v>551</v>
      </c>
      <c r="D127" s="166" t="s">
        <v>961</v>
      </c>
      <c r="E127" s="163">
        <v>0.23599999999999999</v>
      </c>
      <c r="F127" s="163">
        <v>9.8449999999999996E-2</v>
      </c>
      <c r="G127" s="270">
        <v>1.6500000000000001E-2</v>
      </c>
      <c r="H127" s="163">
        <v>3.761E-3</v>
      </c>
      <c r="I127" s="163">
        <v>1.433E-3</v>
      </c>
      <c r="J127" s="31" t="b">
        <v>0</v>
      </c>
      <c r="K127" s="32" t="b">
        <v>0</v>
      </c>
    </row>
    <row r="128" spans="2:11" ht="34" x14ac:dyDescent="0.2">
      <c r="B128" s="335" t="s">
        <v>1529</v>
      </c>
      <c r="C128" s="38" t="s">
        <v>551</v>
      </c>
      <c r="D128" s="166" t="s">
        <v>961</v>
      </c>
      <c r="E128" s="163">
        <v>0.23549999999999999</v>
      </c>
      <c r="F128" s="163">
        <v>0.1205</v>
      </c>
      <c r="G128" s="270">
        <v>5.0639999999999998E-2</v>
      </c>
      <c r="H128" s="163">
        <v>2.1540000000000001E-3</v>
      </c>
      <c r="I128" s="163">
        <v>1.108E-3</v>
      </c>
      <c r="J128" s="31" t="b">
        <v>0</v>
      </c>
      <c r="K128" s="32" t="b">
        <v>0</v>
      </c>
    </row>
    <row r="129" spans="2:11" ht="17" x14ac:dyDescent="0.2">
      <c r="B129" s="335" t="s">
        <v>1527</v>
      </c>
      <c r="C129" s="38" t="s">
        <v>551</v>
      </c>
      <c r="D129" s="166" t="s">
        <v>961</v>
      </c>
      <c r="E129" s="163">
        <v>0.23419999999999999</v>
      </c>
      <c r="F129" s="163">
        <v>9.4420000000000004E-2</v>
      </c>
      <c r="G129" s="270">
        <v>1.311E-2</v>
      </c>
      <c r="H129" s="163">
        <v>4.4460000000000003E-3</v>
      </c>
      <c r="I129" s="163">
        <v>1.42E-3</v>
      </c>
      <c r="J129" s="31" t="b">
        <v>0</v>
      </c>
      <c r="K129" s="32" t="b">
        <v>0</v>
      </c>
    </row>
    <row r="130" spans="2:11" ht="17" x14ac:dyDescent="0.2">
      <c r="B130" s="335" t="s">
        <v>1528</v>
      </c>
      <c r="C130" s="38" t="s">
        <v>551</v>
      </c>
      <c r="D130" s="166" t="s">
        <v>961</v>
      </c>
      <c r="E130" s="163">
        <v>0.23419999999999999</v>
      </c>
      <c r="F130" s="163">
        <v>9.4420000000000004E-2</v>
      </c>
      <c r="G130" s="270">
        <v>1.311E-2</v>
      </c>
      <c r="H130" s="163">
        <v>4.4460000000000003E-3</v>
      </c>
      <c r="I130" s="163">
        <v>1.42E-3</v>
      </c>
      <c r="J130" s="31" t="b">
        <v>0</v>
      </c>
      <c r="K130" s="32" t="b">
        <v>0</v>
      </c>
    </row>
    <row r="131" spans="2:11" ht="17" x14ac:dyDescent="0.2">
      <c r="B131" s="335" t="s">
        <v>1526</v>
      </c>
      <c r="C131" s="38" t="s">
        <v>551</v>
      </c>
      <c r="D131" s="166" t="s">
        <v>961</v>
      </c>
      <c r="E131" s="163">
        <v>0.23369999999999999</v>
      </c>
      <c r="F131" s="163">
        <v>5.9769999999999997E-2</v>
      </c>
      <c r="G131" s="151">
        <v>9.2590000000000006E-5</v>
      </c>
      <c r="H131" s="163">
        <v>8.7039999999999999E-3</v>
      </c>
      <c r="I131" s="163">
        <v>1.2260000000000001E-3</v>
      </c>
      <c r="J131" s="31" t="b">
        <v>0</v>
      </c>
      <c r="K131" s="32" t="b">
        <v>0</v>
      </c>
    </row>
    <row r="132" spans="2:11" ht="17" x14ac:dyDescent="0.2">
      <c r="B132" s="335" t="s">
        <v>1525</v>
      </c>
      <c r="C132" s="38" t="s">
        <v>551</v>
      </c>
      <c r="D132" s="166" t="s">
        <v>961</v>
      </c>
      <c r="E132" s="163">
        <v>0.23200000000000001</v>
      </c>
      <c r="F132" s="163">
        <v>7.5370000000000006E-2</v>
      </c>
      <c r="G132" s="270">
        <v>2.085E-3</v>
      </c>
      <c r="H132" s="163">
        <v>5.2040000000000003E-3</v>
      </c>
      <c r="I132" s="163">
        <v>1.294E-3</v>
      </c>
      <c r="J132" s="31" t="b">
        <v>0</v>
      </c>
      <c r="K132" s="32" t="b">
        <v>0</v>
      </c>
    </row>
    <row r="133" spans="2:11" ht="17" x14ac:dyDescent="0.2">
      <c r="B133" s="335" t="s">
        <v>1515</v>
      </c>
      <c r="C133" s="38" t="s">
        <v>551</v>
      </c>
      <c r="D133" s="166" t="s">
        <v>961</v>
      </c>
      <c r="E133" s="163">
        <v>0.22370000000000001</v>
      </c>
      <c r="F133" s="163">
        <v>0.105</v>
      </c>
      <c r="G133" s="270">
        <v>3.3079999999999998E-2</v>
      </c>
      <c r="H133" s="163">
        <v>3.8800000000000002E-3</v>
      </c>
      <c r="I133" s="163">
        <v>1.5009999999999999E-3</v>
      </c>
      <c r="J133" s="31" t="b">
        <v>0</v>
      </c>
      <c r="K133" s="32" t="b">
        <v>0</v>
      </c>
    </row>
    <row r="134" spans="2:11" ht="34" x14ac:dyDescent="0.2">
      <c r="B134" s="335" t="s">
        <v>1514</v>
      </c>
      <c r="C134" s="38" t="s">
        <v>551</v>
      </c>
      <c r="D134" s="166" t="s">
        <v>961</v>
      </c>
      <c r="E134" s="163">
        <v>0.2223</v>
      </c>
      <c r="F134" s="163">
        <v>6.6400000000000001E-2</v>
      </c>
      <c r="G134" s="151">
        <v>8.1610000000000005E-4</v>
      </c>
      <c r="H134" s="163">
        <v>5.3709999999999999E-3</v>
      </c>
      <c r="I134" s="163">
        <v>1.428E-3</v>
      </c>
      <c r="J134" s="31" t="b">
        <v>0</v>
      </c>
      <c r="K134" s="32" t="b">
        <v>0</v>
      </c>
    </row>
    <row r="135" spans="2:11" ht="17" x14ac:dyDescent="0.2">
      <c r="B135" s="335" t="s">
        <v>1513</v>
      </c>
      <c r="C135" s="38" t="s">
        <v>551</v>
      </c>
      <c r="D135" s="166" t="s">
        <v>961</v>
      </c>
      <c r="E135" s="163">
        <v>0.22070000000000001</v>
      </c>
      <c r="F135" s="163">
        <v>9.6390000000000003E-2</v>
      </c>
      <c r="G135" s="270">
        <v>2.2020000000000001E-2</v>
      </c>
      <c r="H135" s="163">
        <v>2.6480000000000002E-3</v>
      </c>
      <c r="I135" s="163">
        <v>1.2130000000000001E-3</v>
      </c>
      <c r="J135" s="31" t="b">
        <v>0</v>
      </c>
      <c r="K135" s="32" t="b">
        <v>0</v>
      </c>
    </row>
    <row r="136" spans="2:11" ht="17" x14ac:dyDescent="0.2">
      <c r="B136" s="335" t="s">
        <v>1511</v>
      </c>
      <c r="C136" s="38" t="s">
        <v>551</v>
      </c>
      <c r="D136" s="166" t="s">
        <v>961</v>
      </c>
      <c r="E136" s="163">
        <v>0.21990000000000001</v>
      </c>
      <c r="F136" s="163">
        <v>7.7160000000000006E-2</v>
      </c>
      <c r="G136" s="270">
        <v>4.3750000000000004E-3</v>
      </c>
      <c r="H136" s="163">
        <v>2.0469999999999999E-2</v>
      </c>
      <c r="I136" s="163">
        <v>5.6160000000000003E-3</v>
      </c>
      <c r="J136" s="31" t="b">
        <v>0</v>
      </c>
      <c r="K136" s="32" t="b">
        <v>0</v>
      </c>
    </row>
    <row r="137" spans="2:11" ht="34" x14ac:dyDescent="0.2">
      <c r="B137" s="335" t="s">
        <v>1503</v>
      </c>
      <c r="C137" s="38" t="s">
        <v>551</v>
      </c>
      <c r="D137" s="166" t="s">
        <v>961</v>
      </c>
      <c r="E137" s="163">
        <v>0.21540000000000001</v>
      </c>
      <c r="F137" s="163">
        <v>9.604E-2</v>
      </c>
      <c r="G137" s="270">
        <v>2.4920000000000001E-2</v>
      </c>
      <c r="H137" s="163">
        <v>2.9459999999999998E-3</v>
      </c>
      <c r="I137" s="163">
        <v>1.235E-3</v>
      </c>
      <c r="J137" s="31" t="b">
        <v>0</v>
      </c>
      <c r="K137" s="32" t="b">
        <v>0</v>
      </c>
    </row>
    <row r="138" spans="2:11" ht="17" x14ac:dyDescent="0.2">
      <c r="B138" s="335" t="s">
        <v>1501</v>
      </c>
      <c r="C138" s="38" t="s">
        <v>551</v>
      </c>
      <c r="D138" s="166" t="s">
        <v>961</v>
      </c>
      <c r="E138" s="163">
        <v>0.2114</v>
      </c>
      <c r="F138" s="163">
        <v>8.6449999999999999E-2</v>
      </c>
      <c r="G138" s="270">
        <v>1.448E-2</v>
      </c>
      <c r="H138" s="163">
        <v>3.7799999999999999E-3</v>
      </c>
      <c r="I138" s="163">
        <v>1.2589999999999999E-3</v>
      </c>
      <c r="J138" s="31" t="b">
        <v>0</v>
      </c>
      <c r="K138" s="32" t="b">
        <v>0</v>
      </c>
    </row>
    <row r="139" spans="2:11" ht="34" x14ac:dyDescent="0.2">
      <c r="B139" s="335" t="s">
        <v>1499</v>
      </c>
      <c r="C139" s="38" t="s">
        <v>551</v>
      </c>
      <c r="D139" s="166" t="s">
        <v>961</v>
      </c>
      <c r="E139" s="163">
        <v>0.2097</v>
      </c>
      <c r="F139" s="163">
        <v>5.5719999999999999E-2</v>
      </c>
      <c r="G139" s="151">
        <v>1.6760000000000001E-4</v>
      </c>
      <c r="H139" s="163">
        <v>9.6790000000000001E-3</v>
      </c>
      <c r="I139" s="163">
        <v>1.6149999999999999E-3</v>
      </c>
      <c r="J139" s="31" t="b">
        <v>0</v>
      </c>
      <c r="K139" s="32" t="b">
        <v>0</v>
      </c>
    </row>
    <row r="140" spans="2:11" ht="34" x14ac:dyDescent="0.2">
      <c r="B140" s="335" t="s">
        <v>1497</v>
      </c>
      <c r="C140" s="38" t="s">
        <v>551</v>
      </c>
      <c r="D140" s="166" t="s">
        <v>965</v>
      </c>
      <c r="E140" s="163">
        <v>0.2082</v>
      </c>
      <c r="F140" s="163">
        <v>0.1017</v>
      </c>
      <c r="G140" s="270">
        <v>4.0669999999999998E-2</v>
      </c>
      <c r="H140" s="163">
        <v>3.6449999999999998E-3</v>
      </c>
      <c r="I140" s="163">
        <v>1.3110000000000001E-3</v>
      </c>
      <c r="J140" s="31" t="b">
        <v>0</v>
      </c>
      <c r="K140" s="32" t="b">
        <v>0</v>
      </c>
    </row>
    <row r="141" spans="2:11" ht="34" x14ac:dyDescent="0.2">
      <c r="B141" s="335" t="s">
        <v>1498</v>
      </c>
      <c r="C141" s="38" t="s">
        <v>551</v>
      </c>
      <c r="D141" s="166" t="s">
        <v>961</v>
      </c>
      <c r="E141" s="163">
        <v>0.2082</v>
      </c>
      <c r="F141" s="163">
        <v>8.1960000000000005E-2</v>
      </c>
      <c r="G141" s="270">
        <v>1.1089999999999999E-2</v>
      </c>
      <c r="H141" s="163">
        <v>4.6080000000000001E-3</v>
      </c>
      <c r="I141" s="163">
        <v>1.274E-3</v>
      </c>
      <c r="J141" s="31" t="b">
        <v>0</v>
      </c>
      <c r="K141" s="32" t="b">
        <v>0</v>
      </c>
    </row>
    <row r="142" spans="2:11" ht="34" x14ac:dyDescent="0.2">
      <c r="B142" s="335" t="s">
        <v>1492</v>
      </c>
      <c r="C142" s="38" t="s">
        <v>551</v>
      </c>
      <c r="D142" s="166" t="s">
        <v>961</v>
      </c>
      <c r="E142" s="163">
        <v>0.20030000000000001</v>
      </c>
      <c r="F142" s="163">
        <v>8.5639999999999994E-2</v>
      </c>
      <c r="G142" s="270">
        <v>1.9359999999999999E-2</v>
      </c>
      <c r="H142" s="163">
        <v>3.9039999999999999E-3</v>
      </c>
      <c r="I142" s="163">
        <v>1.2489999999999999E-3</v>
      </c>
      <c r="J142" s="31" t="b">
        <v>0</v>
      </c>
      <c r="K142" s="32" t="b">
        <v>0</v>
      </c>
    </row>
    <row r="143" spans="2:11" ht="17" x14ac:dyDescent="0.2">
      <c r="B143" s="335" t="s">
        <v>1491</v>
      </c>
      <c r="C143" s="38" t="s">
        <v>551</v>
      </c>
      <c r="D143" s="166" t="s">
        <v>965</v>
      </c>
      <c r="E143" s="163">
        <v>0.19950000000000001</v>
      </c>
      <c r="F143" s="163">
        <v>0.1125</v>
      </c>
      <c r="G143" s="270">
        <v>7.6020000000000004E-2</v>
      </c>
      <c r="H143" s="163">
        <v>1.3769999999999999E-2</v>
      </c>
      <c r="I143" s="163">
        <v>6.6759999999999996E-3</v>
      </c>
      <c r="J143" s="31" t="b">
        <v>0</v>
      </c>
      <c r="K143" s="32" t="b">
        <v>0</v>
      </c>
    </row>
    <row r="144" spans="2:11" ht="17" x14ac:dyDescent="0.2">
      <c r="B144" s="335" t="s">
        <v>1490</v>
      </c>
      <c r="C144" s="38" t="s">
        <v>551</v>
      </c>
      <c r="D144" s="166" t="s">
        <v>961</v>
      </c>
      <c r="E144" s="163">
        <v>0.1988</v>
      </c>
      <c r="F144" s="163">
        <v>6.8589999999999998E-2</v>
      </c>
      <c r="G144" s="270">
        <v>3.7580000000000001E-3</v>
      </c>
      <c r="H144" s="163">
        <v>7.6350000000000003E-3</v>
      </c>
      <c r="I144" s="163">
        <v>1.588E-3</v>
      </c>
      <c r="J144" s="31" t="b">
        <v>0</v>
      </c>
      <c r="K144" s="32" t="b">
        <v>0</v>
      </c>
    </row>
    <row r="145" spans="2:11" ht="17" x14ac:dyDescent="0.2">
      <c r="B145" s="335" t="s">
        <v>1488</v>
      </c>
      <c r="C145" s="38" t="s">
        <v>551</v>
      </c>
      <c r="D145" s="166" t="s">
        <v>961</v>
      </c>
      <c r="E145" s="163">
        <v>0.19539999999999999</v>
      </c>
      <c r="F145" s="163">
        <v>8.5769999999999999E-2</v>
      </c>
      <c r="G145" s="270">
        <v>2.2749999999999999E-2</v>
      </c>
      <c r="H145" s="163">
        <v>3.447E-3</v>
      </c>
      <c r="I145" s="163">
        <v>1.3140000000000001E-3</v>
      </c>
      <c r="J145" s="31" t="b">
        <v>0</v>
      </c>
      <c r="K145" s="32" t="b">
        <v>0</v>
      </c>
    </row>
    <row r="146" spans="2:11" ht="17" x14ac:dyDescent="0.2">
      <c r="B146" s="335" t="s">
        <v>1487</v>
      </c>
      <c r="C146" s="38" t="s">
        <v>551</v>
      </c>
      <c r="D146" s="166" t="s">
        <v>961</v>
      </c>
      <c r="E146" s="163">
        <v>0.19270000000000001</v>
      </c>
      <c r="F146" s="163">
        <v>5.2650000000000002E-2</v>
      </c>
      <c r="G146" s="151">
        <v>2.5240000000000001E-4</v>
      </c>
      <c r="H146" s="163">
        <v>1.3050000000000001E-2</v>
      </c>
      <c r="I146" s="163">
        <v>1.531E-3</v>
      </c>
      <c r="J146" s="31" t="b">
        <v>0</v>
      </c>
      <c r="K146" s="32" t="b">
        <v>0</v>
      </c>
    </row>
    <row r="147" spans="2:11" ht="17" x14ac:dyDescent="0.2">
      <c r="B147" s="335" t="s">
        <v>1485</v>
      </c>
      <c r="C147" s="38" t="s">
        <v>551</v>
      </c>
      <c r="D147" s="166" t="s">
        <v>965</v>
      </c>
      <c r="E147" s="163">
        <v>0.19209999999999999</v>
      </c>
      <c r="F147" s="163">
        <v>6.1830000000000003E-2</v>
      </c>
      <c r="G147" s="270">
        <v>1.8929999999999999E-3</v>
      </c>
      <c r="H147" s="163">
        <v>2.2159999999999999E-2</v>
      </c>
      <c r="I147" s="163">
        <v>4.2469999999999999E-3</v>
      </c>
      <c r="J147" s="31" t="b">
        <v>0</v>
      </c>
      <c r="K147" s="32" t="b">
        <v>0</v>
      </c>
    </row>
    <row r="148" spans="2:11" ht="17" x14ac:dyDescent="0.2">
      <c r="B148" s="335" t="s">
        <v>1484</v>
      </c>
      <c r="C148" s="38" t="s">
        <v>551</v>
      </c>
      <c r="D148" s="166" t="s">
        <v>961</v>
      </c>
      <c r="E148" s="163">
        <v>0.19070000000000001</v>
      </c>
      <c r="F148" s="163">
        <v>9.9419999999999994E-2</v>
      </c>
      <c r="G148" s="270">
        <v>5.5039999999999999E-2</v>
      </c>
      <c r="H148" s="163">
        <v>2.7699999999999999E-3</v>
      </c>
      <c r="I148" s="163">
        <v>1.3129999999999999E-3</v>
      </c>
      <c r="J148" s="31" t="b">
        <v>0</v>
      </c>
      <c r="K148" s="32" t="b">
        <v>0</v>
      </c>
    </row>
    <row r="149" spans="2:11" ht="17" x14ac:dyDescent="0.2">
      <c r="B149" s="335" t="s">
        <v>1480</v>
      </c>
      <c r="C149" s="38" t="s">
        <v>551</v>
      </c>
      <c r="D149" s="166" t="s">
        <v>961</v>
      </c>
      <c r="E149" s="163">
        <v>0.18540000000000001</v>
      </c>
      <c r="F149" s="163">
        <v>7.2429999999999994E-2</v>
      </c>
      <c r="G149" s="270">
        <v>1.0489999999999999E-2</v>
      </c>
      <c r="H149" s="163">
        <v>5.5649999999999996E-3</v>
      </c>
      <c r="I149" s="163">
        <v>1.4959999999999999E-3</v>
      </c>
      <c r="J149" s="31" t="b">
        <v>0</v>
      </c>
      <c r="K149" s="32" t="b">
        <v>0</v>
      </c>
    </row>
    <row r="150" spans="2:11" ht="17" x14ac:dyDescent="0.2">
      <c r="B150" s="335" t="s">
        <v>1479</v>
      </c>
      <c r="C150" s="38" t="s">
        <v>551</v>
      </c>
      <c r="D150" s="166" t="s">
        <v>961</v>
      </c>
      <c r="E150" s="163">
        <v>0.18279999999999999</v>
      </c>
      <c r="F150" s="163">
        <v>9.4729999999999995E-2</v>
      </c>
      <c r="G150" s="270">
        <v>5.3650000000000003E-2</v>
      </c>
      <c r="H150" s="163">
        <v>3.0709999999999999E-3</v>
      </c>
      <c r="I150" s="163">
        <v>1.2849999999999999E-3</v>
      </c>
      <c r="J150" s="31" t="b">
        <v>0</v>
      </c>
      <c r="K150" s="32" t="b">
        <v>0</v>
      </c>
    </row>
    <row r="151" spans="2:11" ht="17" x14ac:dyDescent="0.2">
      <c r="B151" s="335" t="s">
        <v>1477</v>
      </c>
      <c r="C151" s="38" t="s">
        <v>551</v>
      </c>
      <c r="D151" s="166" t="s">
        <v>961</v>
      </c>
      <c r="E151" s="163">
        <v>0.18060000000000001</v>
      </c>
      <c r="F151" s="163">
        <v>7.8670000000000004E-2</v>
      </c>
      <c r="G151" s="270">
        <v>2.1669999999999998E-2</v>
      </c>
      <c r="H151" s="163">
        <v>6.3039999999999997E-3</v>
      </c>
      <c r="I151" s="163">
        <v>1.5950000000000001E-3</v>
      </c>
      <c r="J151" s="31" t="b">
        <v>0</v>
      </c>
      <c r="K151" s="32" t="b">
        <v>0</v>
      </c>
    </row>
    <row r="152" spans="2:11" ht="17" x14ac:dyDescent="0.2">
      <c r="B152" s="335" t="s">
        <v>1475</v>
      </c>
      <c r="C152" s="38" t="s">
        <v>551</v>
      </c>
      <c r="D152" s="166" t="s">
        <v>961</v>
      </c>
      <c r="E152" s="163">
        <v>0.18049999999999999</v>
      </c>
      <c r="F152" s="163">
        <v>6.6699999999999995E-2</v>
      </c>
      <c r="G152" s="270">
        <v>6.8079999999999998E-3</v>
      </c>
      <c r="H152" s="163">
        <v>5.1310000000000001E-3</v>
      </c>
      <c r="I152" s="163">
        <v>1.325E-3</v>
      </c>
      <c r="J152" s="31" t="b">
        <v>0</v>
      </c>
      <c r="K152" s="32" t="b">
        <v>0</v>
      </c>
    </row>
    <row r="153" spans="2:11" ht="17" x14ac:dyDescent="0.2">
      <c r="B153" s="335" t="s">
        <v>1476</v>
      </c>
      <c r="C153" s="38" t="s">
        <v>551</v>
      </c>
      <c r="D153" s="166" t="s">
        <v>961</v>
      </c>
      <c r="E153" s="163">
        <v>0.18049999999999999</v>
      </c>
      <c r="F153" s="163">
        <v>6.6699999999999995E-2</v>
      </c>
      <c r="G153" s="270">
        <v>6.8079999999999998E-3</v>
      </c>
      <c r="H153" s="163">
        <v>5.1310000000000001E-3</v>
      </c>
      <c r="I153" s="163">
        <v>1.325E-3</v>
      </c>
      <c r="J153" s="31" t="b">
        <v>0</v>
      </c>
      <c r="K153" s="32" t="b">
        <v>0</v>
      </c>
    </row>
    <row r="154" spans="2:11" ht="17" x14ac:dyDescent="0.2">
      <c r="B154" s="335" t="s">
        <v>1472</v>
      </c>
      <c r="C154" s="38" t="s">
        <v>551</v>
      </c>
      <c r="D154" s="166" t="s">
        <v>961</v>
      </c>
      <c r="E154" s="163">
        <v>0.1802</v>
      </c>
      <c r="F154" s="163">
        <v>0.114</v>
      </c>
      <c r="G154" s="270">
        <v>0.1139</v>
      </c>
      <c r="H154" s="163">
        <v>2.3640000000000002E-3</v>
      </c>
      <c r="I154" s="163">
        <v>1.1310000000000001E-3</v>
      </c>
      <c r="J154" s="31" t="b">
        <v>0</v>
      </c>
      <c r="K154" s="32" t="b">
        <v>0</v>
      </c>
    </row>
    <row r="155" spans="2:11" ht="17" x14ac:dyDescent="0.2">
      <c r="B155" s="335" t="s">
        <v>1473</v>
      </c>
      <c r="C155" s="38" t="s">
        <v>551</v>
      </c>
      <c r="D155" s="166" t="s">
        <v>961</v>
      </c>
      <c r="E155" s="163">
        <v>0.1802</v>
      </c>
      <c r="F155" s="163">
        <v>6.6780000000000006E-2</v>
      </c>
      <c r="G155" s="270">
        <v>6.9760000000000004E-3</v>
      </c>
      <c r="H155" s="163">
        <v>6.3639999999999999E-3</v>
      </c>
      <c r="I155" s="163">
        <v>1.294E-3</v>
      </c>
      <c r="J155" s="31" t="b">
        <v>0</v>
      </c>
      <c r="K155" s="32" t="b">
        <v>0</v>
      </c>
    </row>
    <row r="156" spans="2:11" ht="17" x14ac:dyDescent="0.2">
      <c r="B156" s="335" t="s">
        <v>1470</v>
      </c>
      <c r="C156" s="38" t="s">
        <v>551</v>
      </c>
      <c r="D156" s="166" t="s">
        <v>961</v>
      </c>
      <c r="E156" s="163">
        <v>0.17699999999999999</v>
      </c>
      <c r="F156" s="163">
        <v>5.092E-2</v>
      </c>
      <c r="G156" s="151">
        <v>5.0719999999999997E-4</v>
      </c>
      <c r="H156" s="163">
        <v>1.414E-2</v>
      </c>
      <c r="I156" s="163">
        <v>1.951E-3</v>
      </c>
      <c r="J156" s="31" t="b">
        <v>0</v>
      </c>
      <c r="K156" s="32" t="b">
        <v>0</v>
      </c>
    </row>
    <row r="157" spans="2:11" ht="17" x14ac:dyDescent="0.2">
      <c r="B157" s="335" t="s">
        <v>1469</v>
      </c>
      <c r="C157" s="38" t="s">
        <v>551</v>
      </c>
      <c r="D157" s="166" t="s">
        <v>961</v>
      </c>
      <c r="E157" s="163">
        <v>0.17610000000000001</v>
      </c>
      <c r="F157" s="163">
        <v>7.553E-2</v>
      </c>
      <c r="G157" s="270">
        <v>1.975E-2</v>
      </c>
      <c r="H157" s="163">
        <v>1.789E-2</v>
      </c>
      <c r="I157" s="163">
        <v>4.3540000000000002E-3</v>
      </c>
      <c r="J157" s="31" t="b">
        <v>0</v>
      </c>
      <c r="K157" s="32" t="b">
        <v>0</v>
      </c>
    </row>
    <row r="158" spans="2:11" ht="17" x14ac:dyDescent="0.2">
      <c r="B158" s="335" t="s">
        <v>1468</v>
      </c>
      <c r="C158" s="38" t="s">
        <v>551</v>
      </c>
      <c r="D158" s="166" t="s">
        <v>961</v>
      </c>
      <c r="E158" s="163">
        <v>0.17510000000000001</v>
      </c>
      <c r="F158" s="163">
        <v>0.1208</v>
      </c>
      <c r="G158" s="270">
        <v>0.14729999999999999</v>
      </c>
      <c r="H158" s="163">
        <v>2.287E-3</v>
      </c>
      <c r="I158" s="163">
        <v>1.1789999999999999E-3</v>
      </c>
      <c r="J158" s="31" t="b">
        <v>0</v>
      </c>
      <c r="K158" s="32" t="b">
        <v>0</v>
      </c>
    </row>
    <row r="159" spans="2:11" ht="17" x14ac:dyDescent="0.2">
      <c r="B159" s="335" t="s">
        <v>1466</v>
      </c>
      <c r="C159" s="38" t="s">
        <v>551</v>
      </c>
      <c r="D159" s="166" t="s">
        <v>961</v>
      </c>
      <c r="E159" s="163">
        <v>0.17449999999999999</v>
      </c>
      <c r="F159" s="163">
        <v>6.1609999999999998E-2</v>
      </c>
      <c r="G159" s="270">
        <v>4.62E-3</v>
      </c>
      <c r="H159" s="163">
        <v>7.2379999999999996E-3</v>
      </c>
      <c r="I159" s="163">
        <v>1.431E-3</v>
      </c>
      <c r="J159" s="31" t="b">
        <v>0</v>
      </c>
      <c r="K159" s="32" t="b">
        <v>0</v>
      </c>
    </row>
    <row r="160" spans="2:11" ht="17" x14ac:dyDescent="0.2">
      <c r="B160" s="335" t="s">
        <v>1465</v>
      </c>
      <c r="C160" s="38" t="s">
        <v>551</v>
      </c>
      <c r="D160" s="166" t="s">
        <v>961</v>
      </c>
      <c r="E160" s="163">
        <v>0.1744</v>
      </c>
      <c r="F160" s="163">
        <v>6.3289999999999999E-2</v>
      </c>
      <c r="G160" s="270">
        <v>5.8589999999999996E-3</v>
      </c>
      <c r="H160" s="163">
        <v>1.9609999999999999E-2</v>
      </c>
      <c r="I160" s="163">
        <v>4.2680000000000001E-3</v>
      </c>
      <c r="J160" s="31" t="b">
        <v>0</v>
      </c>
      <c r="K160" s="32" t="b">
        <v>0</v>
      </c>
    </row>
    <row r="161" spans="2:11" ht="34" x14ac:dyDescent="0.2">
      <c r="B161" s="335" t="s">
        <v>1463</v>
      </c>
      <c r="C161" s="38" t="s">
        <v>551</v>
      </c>
      <c r="D161" s="166" t="s">
        <v>961</v>
      </c>
      <c r="E161" s="163">
        <v>0.17100000000000001</v>
      </c>
      <c r="F161" s="163">
        <v>5.3280000000000001E-2</v>
      </c>
      <c r="G161" s="270">
        <v>1.333E-3</v>
      </c>
      <c r="H161" s="163">
        <v>1.0710000000000001E-2</v>
      </c>
      <c r="I161" s="163">
        <v>1.64E-3</v>
      </c>
      <c r="J161" s="31" t="b">
        <v>0</v>
      </c>
      <c r="K161" s="32" t="b">
        <v>0</v>
      </c>
    </row>
    <row r="162" spans="2:11" ht="17" x14ac:dyDescent="0.2">
      <c r="B162" s="335" t="s">
        <v>1460</v>
      </c>
      <c r="C162" s="38" t="s">
        <v>551</v>
      </c>
      <c r="D162" s="166" t="s">
        <v>961</v>
      </c>
      <c r="E162" s="163">
        <v>0.1678</v>
      </c>
      <c r="F162" s="163">
        <v>8.0130000000000007E-2</v>
      </c>
      <c r="G162" s="270">
        <v>3.6220000000000002E-2</v>
      </c>
      <c r="H162" s="163">
        <v>3.8340000000000002E-3</v>
      </c>
      <c r="I162" s="163">
        <v>1.3339999999999999E-3</v>
      </c>
      <c r="J162" s="31" t="b">
        <v>0</v>
      </c>
      <c r="K162" s="32" t="b">
        <v>0</v>
      </c>
    </row>
    <row r="163" spans="2:11" ht="17" x14ac:dyDescent="0.2">
      <c r="B163" s="335" t="s">
        <v>1459</v>
      </c>
      <c r="C163" s="38" t="s">
        <v>551</v>
      </c>
      <c r="D163" s="166" t="s">
        <v>961</v>
      </c>
      <c r="E163" s="163">
        <v>0.16750000000000001</v>
      </c>
      <c r="F163" s="163">
        <v>9.1609999999999997E-2</v>
      </c>
      <c r="G163" s="270">
        <v>6.7419999999999994E-2</v>
      </c>
      <c r="H163" s="163">
        <v>4.2849999999999997E-3</v>
      </c>
      <c r="I163" s="163">
        <v>1.474E-3</v>
      </c>
      <c r="J163" s="31" t="b">
        <v>0</v>
      </c>
      <c r="K163" s="32" t="b">
        <v>0</v>
      </c>
    </row>
    <row r="164" spans="2:11" ht="34" x14ac:dyDescent="0.2">
      <c r="B164" s="335" t="s">
        <v>1458</v>
      </c>
      <c r="C164" s="38" t="s">
        <v>551</v>
      </c>
      <c r="D164" s="166" t="s">
        <v>961</v>
      </c>
      <c r="E164" s="163">
        <v>0.16739999999999999</v>
      </c>
      <c r="F164" s="163">
        <v>4.5749999999999999E-2</v>
      </c>
      <c r="G164" s="151">
        <v>2.5290000000000002E-4</v>
      </c>
      <c r="H164" s="163">
        <v>1.3820000000000001E-2</v>
      </c>
      <c r="I164" s="163">
        <v>1.737E-3</v>
      </c>
      <c r="J164" s="31" t="b">
        <v>0</v>
      </c>
      <c r="K164" s="32" t="b">
        <v>0</v>
      </c>
    </row>
    <row r="165" spans="2:11" ht="17" x14ac:dyDescent="0.2">
      <c r="B165" s="335" t="s">
        <v>1456</v>
      </c>
      <c r="C165" s="38" t="s">
        <v>551</v>
      </c>
      <c r="D165" s="166" t="s">
        <v>961</v>
      </c>
      <c r="E165" s="163">
        <v>0.16719999999999999</v>
      </c>
      <c r="F165" s="163">
        <v>0.1048</v>
      </c>
      <c r="G165" s="270">
        <v>0.11070000000000001</v>
      </c>
      <c r="H165" s="163">
        <v>2.686E-3</v>
      </c>
      <c r="I165" s="163">
        <v>1.3990000000000001E-3</v>
      </c>
      <c r="J165" s="31" t="b">
        <v>0</v>
      </c>
      <c r="K165" s="32" t="b">
        <v>0</v>
      </c>
    </row>
    <row r="166" spans="2:11" ht="34" x14ac:dyDescent="0.2">
      <c r="B166" s="335" t="s">
        <v>1455</v>
      </c>
      <c r="C166" s="38" t="s">
        <v>551</v>
      </c>
      <c r="D166" s="166" t="s">
        <v>961</v>
      </c>
      <c r="E166" s="163">
        <v>0.16600000000000001</v>
      </c>
      <c r="F166" s="163">
        <v>6.7739999999999995E-2</v>
      </c>
      <c r="G166" s="270">
        <v>1.4279999999999999E-2</v>
      </c>
      <c r="H166" s="163">
        <v>5.4679999999999998E-3</v>
      </c>
      <c r="I166" s="163">
        <v>1.4270000000000001E-3</v>
      </c>
      <c r="J166" s="31" t="b">
        <v>0</v>
      </c>
      <c r="K166" s="32" t="b">
        <v>0</v>
      </c>
    </row>
    <row r="167" spans="2:11" ht="34" x14ac:dyDescent="0.2">
      <c r="B167" s="335" t="s">
        <v>1452</v>
      </c>
      <c r="C167" s="38" t="s">
        <v>551</v>
      </c>
      <c r="D167" s="166" t="s">
        <v>961</v>
      </c>
      <c r="E167" s="163">
        <v>0.1658</v>
      </c>
      <c r="F167" s="163">
        <v>5.8909999999999997E-2</v>
      </c>
      <c r="G167" s="270">
        <v>4.875E-3</v>
      </c>
      <c r="H167" s="163">
        <v>2.189E-2</v>
      </c>
      <c r="I167" s="163">
        <v>4.0639999999999999E-3</v>
      </c>
      <c r="J167" s="31" t="b">
        <v>0</v>
      </c>
      <c r="K167" s="32" t="b">
        <v>0</v>
      </c>
    </row>
    <row r="168" spans="2:11" ht="17" x14ac:dyDescent="0.2">
      <c r="B168" s="335" t="s">
        <v>1451</v>
      </c>
      <c r="C168" s="38" t="s">
        <v>964</v>
      </c>
      <c r="D168" s="166" t="s">
        <v>965</v>
      </c>
      <c r="E168" s="163">
        <v>0.16550000000000001</v>
      </c>
      <c r="F168" s="163">
        <v>0.15049999999999999</v>
      </c>
      <c r="G168" s="270">
        <v>0.27129999999999999</v>
      </c>
      <c r="H168" s="163">
        <v>5.5010000000000003E-2</v>
      </c>
      <c r="I168" s="163">
        <v>5.2490000000000002E-2</v>
      </c>
      <c r="J168" s="31" t="b">
        <v>0</v>
      </c>
      <c r="K168" s="32" t="b">
        <v>0</v>
      </c>
    </row>
    <row r="169" spans="2:11" ht="17" x14ac:dyDescent="0.2">
      <c r="B169" s="335" t="s">
        <v>1450</v>
      </c>
      <c r="C169" s="38" t="s">
        <v>551</v>
      </c>
      <c r="D169" s="166" t="s">
        <v>961</v>
      </c>
      <c r="E169" s="163">
        <v>0.1653</v>
      </c>
      <c r="F169" s="163">
        <v>7.3289999999999994E-2</v>
      </c>
      <c r="G169" s="270">
        <v>2.4080000000000001E-2</v>
      </c>
      <c r="H169" s="163">
        <v>5.718E-3</v>
      </c>
      <c r="I169" s="163">
        <v>1.3450000000000001E-3</v>
      </c>
      <c r="J169" s="31" t="b">
        <v>0</v>
      </c>
      <c r="K169" s="32" t="b">
        <v>0</v>
      </c>
    </row>
    <row r="170" spans="2:11" ht="17" x14ac:dyDescent="0.2">
      <c r="B170" s="335" t="s">
        <v>1449</v>
      </c>
      <c r="C170" s="38" t="s">
        <v>551</v>
      </c>
      <c r="D170" s="166" t="s">
        <v>961</v>
      </c>
      <c r="E170" s="163">
        <v>0.16500000000000001</v>
      </c>
      <c r="F170" s="163">
        <v>4.6460000000000001E-2</v>
      </c>
      <c r="G170" s="151">
        <v>3.834E-4</v>
      </c>
      <c r="H170" s="163">
        <v>1.2710000000000001E-2</v>
      </c>
      <c r="I170" s="163">
        <v>1.8760000000000001E-3</v>
      </c>
      <c r="J170" s="31" t="b">
        <v>0</v>
      </c>
      <c r="K170" s="32" t="b">
        <v>0</v>
      </c>
    </row>
    <row r="171" spans="2:11" ht="34" x14ac:dyDescent="0.2">
      <c r="B171" s="335" t="s">
        <v>1446</v>
      </c>
      <c r="C171" s="38" t="s">
        <v>551</v>
      </c>
      <c r="D171" s="166" t="s">
        <v>961</v>
      </c>
      <c r="E171" s="163">
        <v>0.16450000000000001</v>
      </c>
      <c r="F171" s="163">
        <v>6.6479999999999997E-2</v>
      </c>
      <c r="G171" s="270">
        <v>1.3310000000000001E-2</v>
      </c>
      <c r="H171" s="163">
        <v>5.6740000000000002E-3</v>
      </c>
      <c r="I171" s="163">
        <v>1.433E-3</v>
      </c>
      <c r="J171" s="31" t="b">
        <v>0</v>
      </c>
      <c r="K171" s="32" t="b">
        <v>0</v>
      </c>
    </row>
    <row r="172" spans="2:11" ht="34" x14ac:dyDescent="0.2">
      <c r="B172" s="335" t="s">
        <v>1447</v>
      </c>
      <c r="C172" s="38" t="s">
        <v>551</v>
      </c>
      <c r="D172" s="166" t="s">
        <v>961</v>
      </c>
      <c r="E172" s="163">
        <v>0.16450000000000001</v>
      </c>
      <c r="F172" s="163">
        <v>8.3790000000000003E-2</v>
      </c>
      <c r="G172" s="270">
        <v>4.9590000000000002E-2</v>
      </c>
      <c r="H172" s="163">
        <v>4.888E-3</v>
      </c>
      <c r="I172" s="163">
        <v>1.7780000000000001E-3</v>
      </c>
      <c r="J172" s="31" t="b">
        <v>0</v>
      </c>
      <c r="K172" s="32" t="b">
        <v>0</v>
      </c>
    </row>
    <row r="173" spans="2:11" ht="34" x14ac:dyDescent="0.2">
      <c r="B173" s="335" t="s">
        <v>1445</v>
      </c>
      <c r="C173" s="38" t="s">
        <v>551</v>
      </c>
      <c r="D173" s="166" t="s">
        <v>961</v>
      </c>
      <c r="E173" s="163">
        <v>0.1638</v>
      </c>
      <c r="F173" s="163">
        <v>8.3000000000000004E-2</v>
      </c>
      <c r="G173" s="270">
        <v>4.8460000000000003E-2</v>
      </c>
      <c r="H173" s="163">
        <v>4.0590000000000001E-3</v>
      </c>
      <c r="I173" s="163">
        <v>1.261E-3</v>
      </c>
      <c r="J173" s="31" t="b">
        <v>0</v>
      </c>
      <c r="K173" s="32" t="b">
        <v>0</v>
      </c>
    </row>
    <row r="174" spans="2:11" ht="17" x14ac:dyDescent="0.2">
      <c r="B174" s="335" t="s">
        <v>1442</v>
      </c>
      <c r="C174" s="38" t="s">
        <v>551</v>
      </c>
      <c r="D174" s="166" t="s">
        <v>961</v>
      </c>
      <c r="E174" s="163">
        <v>0.1636</v>
      </c>
      <c r="F174" s="163">
        <v>8.7370000000000003E-2</v>
      </c>
      <c r="G174" s="270">
        <v>6.1150000000000003E-2</v>
      </c>
      <c r="H174" s="163">
        <v>2.7369999999999998E-3</v>
      </c>
      <c r="I174" s="163">
        <v>1.219E-3</v>
      </c>
      <c r="J174" s="31" t="b">
        <v>0</v>
      </c>
      <c r="K174" s="32" t="b">
        <v>0</v>
      </c>
    </row>
    <row r="175" spans="2:11" ht="17" x14ac:dyDescent="0.2">
      <c r="B175" s="335" t="s">
        <v>1443</v>
      </c>
      <c r="C175" s="38" t="s">
        <v>551</v>
      </c>
      <c r="D175" s="166" t="s">
        <v>961</v>
      </c>
      <c r="E175" s="163">
        <v>0.1636</v>
      </c>
      <c r="F175" s="163">
        <v>8.609E-2</v>
      </c>
      <c r="G175" s="270">
        <v>5.7450000000000001E-2</v>
      </c>
      <c r="H175" s="163">
        <v>3.8639999999999998E-3</v>
      </c>
      <c r="I175" s="163">
        <v>1.193E-3</v>
      </c>
      <c r="J175" s="31" t="b">
        <v>0</v>
      </c>
      <c r="K175" s="32" t="b">
        <v>0</v>
      </c>
    </row>
    <row r="176" spans="2:11" ht="17" x14ac:dyDescent="0.2">
      <c r="B176" s="335" t="s">
        <v>1438</v>
      </c>
      <c r="C176" s="38" t="s">
        <v>551</v>
      </c>
      <c r="D176" s="166" t="s">
        <v>961</v>
      </c>
      <c r="E176" s="163">
        <v>0.161</v>
      </c>
      <c r="F176" s="163">
        <v>6.4680000000000001E-2</v>
      </c>
      <c r="G176" s="270">
        <v>1.2829999999999999E-2</v>
      </c>
      <c r="H176" s="163">
        <v>1.8630000000000001E-2</v>
      </c>
      <c r="I176" s="163">
        <v>3.663E-3</v>
      </c>
      <c r="J176" s="31" t="b">
        <v>0</v>
      </c>
      <c r="K176" s="32" t="b">
        <v>0</v>
      </c>
    </row>
    <row r="177" spans="2:11" ht="17" x14ac:dyDescent="0.2">
      <c r="B177" s="335" t="s">
        <v>1435</v>
      </c>
      <c r="C177" s="38" t="s">
        <v>551</v>
      </c>
      <c r="D177" s="166" t="s">
        <v>961</v>
      </c>
      <c r="E177" s="163">
        <v>0.1598</v>
      </c>
      <c r="F177" s="163">
        <v>5.015E-2</v>
      </c>
      <c r="G177" s="270">
        <v>1.438E-3</v>
      </c>
      <c r="H177" s="163">
        <v>4.48E-2</v>
      </c>
      <c r="I177" s="163">
        <v>5.3400000000000001E-3</v>
      </c>
      <c r="J177" s="31" t="b">
        <v>0</v>
      </c>
      <c r="K177" s="32" t="b">
        <v>0</v>
      </c>
    </row>
    <row r="178" spans="2:11" ht="17" x14ac:dyDescent="0.2">
      <c r="B178" s="335" t="s">
        <v>1434</v>
      </c>
      <c r="C178" s="38" t="s">
        <v>551</v>
      </c>
      <c r="D178" s="166" t="s">
        <v>961</v>
      </c>
      <c r="E178" s="163">
        <v>0.1588</v>
      </c>
      <c r="F178" s="163">
        <v>6.5229999999999996E-2</v>
      </c>
      <c r="G178" s="270">
        <v>1.491E-2</v>
      </c>
      <c r="H178" s="163">
        <v>5.8859999999999997E-3</v>
      </c>
      <c r="I178" s="163">
        <v>1.511E-3</v>
      </c>
      <c r="J178" s="31" t="b">
        <v>0</v>
      </c>
      <c r="K178" s="32" t="b">
        <v>0</v>
      </c>
    </row>
    <row r="179" spans="2:11" ht="17" x14ac:dyDescent="0.2">
      <c r="B179" s="335" t="s">
        <v>1431</v>
      </c>
      <c r="C179" s="38" t="s">
        <v>551</v>
      </c>
      <c r="D179" s="166" t="s">
        <v>961</v>
      </c>
      <c r="E179" s="163">
        <v>0.15870000000000001</v>
      </c>
      <c r="F179" s="163">
        <v>4.7079999999999997E-2</v>
      </c>
      <c r="G179" s="151">
        <v>7.4910000000000005E-4</v>
      </c>
      <c r="H179" s="163">
        <v>1.4080000000000001E-2</v>
      </c>
      <c r="I179" s="163">
        <v>1.5349999999999999E-3</v>
      </c>
      <c r="J179" s="31" t="b">
        <v>0</v>
      </c>
      <c r="K179" s="32" t="b">
        <v>0</v>
      </c>
    </row>
    <row r="180" spans="2:11" ht="17" x14ac:dyDescent="0.2">
      <c r="B180" s="335" t="s">
        <v>1432</v>
      </c>
      <c r="C180" s="38" t="s">
        <v>551</v>
      </c>
      <c r="D180" s="166" t="s">
        <v>961</v>
      </c>
      <c r="E180" s="163">
        <v>0.15870000000000001</v>
      </c>
      <c r="F180" s="163">
        <v>4.7079999999999997E-2</v>
      </c>
      <c r="G180" s="151">
        <v>7.4910000000000005E-4</v>
      </c>
      <c r="H180" s="163">
        <v>1.4080000000000001E-2</v>
      </c>
      <c r="I180" s="163">
        <v>1.5349999999999999E-3</v>
      </c>
      <c r="J180" s="31" t="b">
        <v>0</v>
      </c>
      <c r="K180" s="32" t="b">
        <v>0</v>
      </c>
    </row>
    <row r="181" spans="2:11" ht="17" x14ac:dyDescent="0.2">
      <c r="B181" s="335" t="s">
        <v>1433</v>
      </c>
      <c r="C181" s="38" t="s">
        <v>551</v>
      </c>
      <c r="D181" s="166" t="s">
        <v>961</v>
      </c>
      <c r="E181" s="163">
        <v>0.15870000000000001</v>
      </c>
      <c r="F181" s="163">
        <v>5.3249999999999999E-2</v>
      </c>
      <c r="G181" s="270">
        <v>2.8709999999999999E-3</v>
      </c>
      <c r="H181" s="163">
        <v>1.06E-2</v>
      </c>
      <c r="I181" s="163">
        <v>1.5280000000000001E-3</v>
      </c>
      <c r="J181" s="31" t="b">
        <v>0</v>
      </c>
      <c r="K181" s="32" t="b">
        <v>0</v>
      </c>
    </row>
    <row r="182" spans="2:11" ht="17" x14ac:dyDescent="0.2">
      <c r="B182" s="335" t="s">
        <v>1430</v>
      </c>
      <c r="C182" s="38" t="s">
        <v>551</v>
      </c>
      <c r="D182" s="166" t="s">
        <v>961</v>
      </c>
      <c r="E182" s="163">
        <v>0.1583</v>
      </c>
      <c r="F182" s="163">
        <v>7.4279999999999999E-2</v>
      </c>
      <c r="G182" s="270">
        <v>3.313E-2</v>
      </c>
      <c r="H182" s="163">
        <v>4.8900000000000002E-3</v>
      </c>
      <c r="I182" s="163">
        <v>1.3309999999999999E-3</v>
      </c>
      <c r="J182" s="31" t="b">
        <v>0</v>
      </c>
      <c r="K182" s="32" t="b">
        <v>0</v>
      </c>
    </row>
    <row r="183" spans="2:11" ht="17" x14ac:dyDescent="0.2">
      <c r="B183" s="335" t="s">
        <v>1429</v>
      </c>
      <c r="C183" s="38" t="s">
        <v>551</v>
      </c>
      <c r="D183" s="166" t="s">
        <v>961</v>
      </c>
      <c r="E183" s="163">
        <v>0.15590000000000001</v>
      </c>
      <c r="F183" s="163">
        <v>5.416E-2</v>
      </c>
      <c r="G183" s="270">
        <v>3.9880000000000002E-3</v>
      </c>
      <c r="H183" s="163">
        <v>8.4100000000000008E-3</v>
      </c>
      <c r="I183" s="163">
        <v>1.632E-3</v>
      </c>
      <c r="J183" s="31" t="b">
        <v>0</v>
      </c>
      <c r="K183" s="32" t="b">
        <v>0</v>
      </c>
    </row>
    <row r="184" spans="2:11" ht="17" x14ac:dyDescent="0.2">
      <c r="B184" s="335" t="s">
        <v>1427</v>
      </c>
      <c r="C184" s="38" t="s">
        <v>551</v>
      </c>
      <c r="D184" s="166" t="s">
        <v>961</v>
      </c>
      <c r="E184" s="163">
        <v>0.15429999999999999</v>
      </c>
      <c r="F184" s="163">
        <v>8.3140000000000006E-2</v>
      </c>
      <c r="G184" s="270">
        <v>6.3500000000000001E-2</v>
      </c>
      <c r="H184" s="163">
        <v>3.4120000000000001E-3</v>
      </c>
      <c r="I184" s="163">
        <v>1.1850000000000001E-3</v>
      </c>
      <c r="J184" s="31" t="b">
        <v>0</v>
      </c>
      <c r="K184" s="32" t="b">
        <v>0</v>
      </c>
    </row>
    <row r="185" spans="2:11" ht="17" x14ac:dyDescent="0.2">
      <c r="B185" s="335" t="s">
        <v>1426</v>
      </c>
      <c r="C185" s="38" t="s">
        <v>551</v>
      </c>
      <c r="D185" s="166" t="s">
        <v>961</v>
      </c>
      <c r="E185" s="163">
        <v>0.15409999999999999</v>
      </c>
      <c r="F185" s="163">
        <v>7.0519999999999999E-2</v>
      </c>
      <c r="G185" s="270">
        <v>2.8910000000000002E-2</v>
      </c>
      <c r="H185" s="163">
        <v>5.2090000000000001E-3</v>
      </c>
      <c r="I185" s="163">
        <v>1.2639999999999999E-3</v>
      </c>
      <c r="J185" s="31" t="b">
        <v>0</v>
      </c>
      <c r="K185" s="32" t="b">
        <v>0</v>
      </c>
    </row>
    <row r="186" spans="2:11" ht="17" x14ac:dyDescent="0.2">
      <c r="B186" s="335" t="s">
        <v>1424</v>
      </c>
      <c r="C186" s="38" t="s">
        <v>551</v>
      </c>
      <c r="D186" s="166" t="s">
        <v>961</v>
      </c>
      <c r="E186" s="163">
        <v>0.153</v>
      </c>
      <c r="F186" s="163">
        <v>4.9910000000000003E-2</v>
      </c>
      <c r="G186" s="270">
        <v>2.1719999999999999E-3</v>
      </c>
      <c r="H186" s="163">
        <v>2.3789999999999999E-2</v>
      </c>
      <c r="I186" s="163">
        <v>3.0769999999999999E-3</v>
      </c>
      <c r="J186" s="31" t="b">
        <v>0</v>
      </c>
      <c r="K186" s="32" t="b">
        <v>0</v>
      </c>
    </row>
    <row r="187" spans="2:11" ht="17" x14ac:dyDescent="0.2">
      <c r="B187" s="335" t="s">
        <v>1425</v>
      </c>
      <c r="C187" s="38" t="s">
        <v>551</v>
      </c>
      <c r="D187" s="166" t="s">
        <v>961</v>
      </c>
      <c r="E187" s="163">
        <v>0.153</v>
      </c>
      <c r="F187" s="163">
        <v>5.6840000000000002E-2</v>
      </c>
      <c r="G187" s="270">
        <v>7.1079999999999997E-3</v>
      </c>
      <c r="H187" s="163">
        <v>4.36E-2</v>
      </c>
      <c r="I187" s="163">
        <v>6.8669999999999998E-3</v>
      </c>
      <c r="J187" s="31" t="b">
        <v>0</v>
      </c>
      <c r="K187" s="32" t="b">
        <v>0</v>
      </c>
    </row>
    <row r="188" spans="2:11" ht="17" x14ac:dyDescent="0.2">
      <c r="B188" s="335" t="s">
        <v>1423</v>
      </c>
      <c r="C188" s="38" t="s">
        <v>551</v>
      </c>
      <c r="D188" s="166" t="s">
        <v>961</v>
      </c>
      <c r="E188" s="163">
        <v>0.15290000000000001</v>
      </c>
      <c r="F188" s="163">
        <v>9.8599999999999993E-2</v>
      </c>
      <c r="G188" s="270">
        <v>0.12089999999999999</v>
      </c>
      <c r="H188" s="163">
        <v>3.539E-3</v>
      </c>
      <c r="I188" s="163">
        <v>1.279E-3</v>
      </c>
      <c r="J188" s="31" t="b">
        <v>0</v>
      </c>
      <c r="K188" s="32" t="b">
        <v>0</v>
      </c>
    </row>
    <row r="189" spans="2:11" ht="17" x14ac:dyDescent="0.2">
      <c r="B189" s="335" t="s">
        <v>1420</v>
      </c>
      <c r="C189" s="38" t="s">
        <v>551</v>
      </c>
      <c r="D189" s="166" t="s">
        <v>961</v>
      </c>
      <c r="E189" s="163">
        <v>0.15049999999999999</v>
      </c>
      <c r="F189" s="163">
        <v>8.9889999999999998E-2</v>
      </c>
      <c r="G189" s="270">
        <v>9.4E-2</v>
      </c>
      <c r="H189" s="163">
        <v>3.9399999999999999E-3</v>
      </c>
      <c r="I189" s="163">
        <v>1.3179999999999999E-3</v>
      </c>
      <c r="J189" s="31" t="b">
        <v>0</v>
      </c>
      <c r="K189" s="32" t="b">
        <v>0</v>
      </c>
    </row>
    <row r="190" spans="2:11" ht="17" x14ac:dyDescent="0.2">
      <c r="B190" s="335" t="s">
        <v>1419</v>
      </c>
      <c r="C190" s="38" t="s">
        <v>551</v>
      </c>
      <c r="D190" s="166" t="s">
        <v>961</v>
      </c>
      <c r="E190" s="163">
        <v>0.1474</v>
      </c>
      <c r="F190" s="163">
        <v>4.0620000000000003E-2</v>
      </c>
      <c r="G190" s="151">
        <v>2.8430000000000003E-4</v>
      </c>
      <c r="H190" s="163">
        <v>1.9550000000000001E-2</v>
      </c>
      <c r="I190" s="163">
        <v>1.882E-3</v>
      </c>
      <c r="J190" s="31" t="b">
        <v>0</v>
      </c>
      <c r="K190" s="32" t="b">
        <v>0</v>
      </c>
    </row>
    <row r="191" spans="2:11" ht="17" x14ac:dyDescent="0.2">
      <c r="B191" s="335" t="s">
        <v>1418</v>
      </c>
      <c r="C191" s="38" t="s">
        <v>551</v>
      </c>
      <c r="D191" s="166" t="s">
        <v>961</v>
      </c>
      <c r="E191" s="163">
        <v>0.14699999999999999</v>
      </c>
      <c r="F191" s="163">
        <v>0.1157</v>
      </c>
      <c r="G191" s="270">
        <v>0.2039</v>
      </c>
      <c r="H191" s="163">
        <v>2.4459999999999998E-3</v>
      </c>
      <c r="I191" s="163">
        <v>1.261E-3</v>
      </c>
      <c r="J191" s="31" t="b">
        <v>0</v>
      </c>
      <c r="K191" s="32" t="b">
        <v>0</v>
      </c>
    </row>
    <row r="192" spans="2:11" ht="17" x14ac:dyDescent="0.2">
      <c r="B192" s="335" t="s">
        <v>1417</v>
      </c>
      <c r="C192" s="38" t="s">
        <v>551</v>
      </c>
      <c r="D192" s="166" t="s">
        <v>961</v>
      </c>
      <c r="E192" s="163">
        <v>0.1467</v>
      </c>
      <c r="F192" s="163">
        <v>9.2420000000000002E-2</v>
      </c>
      <c r="G192" s="270">
        <v>0.1124</v>
      </c>
      <c r="H192" s="163">
        <v>3.524E-2</v>
      </c>
      <c r="I192" s="163">
        <v>1.2659999999999999E-2</v>
      </c>
      <c r="J192" s="31" t="b">
        <v>0</v>
      </c>
      <c r="K192" s="32" t="b">
        <v>0</v>
      </c>
    </row>
    <row r="193" spans="2:11" ht="17" x14ac:dyDescent="0.2">
      <c r="B193" s="335" t="s">
        <v>1416</v>
      </c>
      <c r="C193" s="38" t="s">
        <v>551</v>
      </c>
      <c r="D193" s="166" t="s">
        <v>961</v>
      </c>
      <c r="E193" s="163">
        <v>0.14630000000000001</v>
      </c>
      <c r="F193" s="163">
        <v>9.5560000000000006E-2</v>
      </c>
      <c r="G193" s="270">
        <v>0.1258</v>
      </c>
      <c r="H193" s="163">
        <v>3.1470000000000001E-3</v>
      </c>
      <c r="I193" s="163">
        <v>1.292E-3</v>
      </c>
      <c r="J193" s="31" t="b">
        <v>0</v>
      </c>
      <c r="K193" s="32" t="b">
        <v>0</v>
      </c>
    </row>
    <row r="194" spans="2:11" ht="17" x14ac:dyDescent="0.2">
      <c r="B194" s="335" t="s">
        <v>1415</v>
      </c>
      <c r="C194" s="38" t="s">
        <v>551</v>
      </c>
      <c r="D194" s="166" t="s">
        <v>961</v>
      </c>
      <c r="E194" s="163">
        <v>0.14530000000000001</v>
      </c>
      <c r="F194" s="163">
        <v>6.9000000000000006E-2</v>
      </c>
      <c r="G194" s="270">
        <v>3.5180000000000003E-2</v>
      </c>
      <c r="H194" s="163">
        <v>2.4989999999999998E-2</v>
      </c>
      <c r="I194" s="163">
        <v>6.2500000000000003E-3</v>
      </c>
      <c r="J194" s="31" t="b">
        <v>0</v>
      </c>
      <c r="K194" s="32" t="b">
        <v>0</v>
      </c>
    </row>
    <row r="195" spans="2:11" ht="17" x14ac:dyDescent="0.2">
      <c r="B195" s="335" t="s">
        <v>1414</v>
      </c>
      <c r="C195" s="38" t="s">
        <v>551</v>
      </c>
      <c r="D195" s="166" t="s">
        <v>961</v>
      </c>
      <c r="E195" s="163">
        <v>0.14349999999999999</v>
      </c>
      <c r="F195" s="163">
        <v>5.0560000000000001E-2</v>
      </c>
      <c r="G195" s="270">
        <v>4.5259999999999996E-3</v>
      </c>
      <c r="H195" s="163">
        <v>1.0240000000000001E-2</v>
      </c>
      <c r="I195" s="163">
        <v>1.374E-3</v>
      </c>
      <c r="J195" s="31" t="b">
        <v>0</v>
      </c>
      <c r="K195" s="32" t="b">
        <v>0</v>
      </c>
    </row>
    <row r="196" spans="2:11" ht="17" x14ac:dyDescent="0.2">
      <c r="B196" s="335" t="s">
        <v>1413</v>
      </c>
      <c r="C196" s="38" t="s">
        <v>551</v>
      </c>
      <c r="D196" s="166" t="s">
        <v>961</v>
      </c>
      <c r="E196" s="163">
        <v>0.1434</v>
      </c>
      <c r="F196" s="163">
        <v>4.2810000000000001E-2</v>
      </c>
      <c r="G196" s="151">
        <v>8.1119999999999999E-4</v>
      </c>
      <c r="H196" s="163">
        <v>1.3520000000000001E-2</v>
      </c>
      <c r="I196" s="163">
        <v>1.846E-3</v>
      </c>
      <c r="J196" s="31" t="b">
        <v>0</v>
      </c>
      <c r="K196" s="32" t="b">
        <v>0</v>
      </c>
    </row>
    <row r="197" spans="2:11" ht="17" x14ac:dyDescent="0.2">
      <c r="B197" s="335" t="s">
        <v>1412</v>
      </c>
      <c r="C197" s="38" t="s">
        <v>551</v>
      </c>
      <c r="D197" s="166" t="s">
        <v>961</v>
      </c>
      <c r="E197" s="163">
        <v>0.14080000000000001</v>
      </c>
      <c r="F197" s="163">
        <v>5.5309999999999998E-2</v>
      </c>
      <c r="G197" s="270">
        <v>1.0880000000000001E-2</v>
      </c>
      <c r="H197" s="163">
        <v>9.92E-3</v>
      </c>
      <c r="I197" s="163">
        <v>1.4660000000000001E-3</v>
      </c>
      <c r="J197" s="31" t="b">
        <v>0</v>
      </c>
      <c r="K197" s="32" t="b">
        <v>0</v>
      </c>
    </row>
    <row r="198" spans="2:11" ht="17" x14ac:dyDescent="0.2">
      <c r="B198" s="335" t="s">
        <v>1411</v>
      </c>
      <c r="C198" s="38" t="s">
        <v>551</v>
      </c>
      <c r="D198" s="166" t="s">
        <v>961</v>
      </c>
      <c r="E198" s="163">
        <v>0.1406</v>
      </c>
      <c r="F198" s="163">
        <v>5.3749999999999999E-2</v>
      </c>
      <c r="G198" s="270">
        <v>8.9210000000000001E-3</v>
      </c>
      <c r="H198" s="163">
        <v>8.5559999999999994E-3</v>
      </c>
      <c r="I198" s="163">
        <v>1.6770000000000001E-3</v>
      </c>
      <c r="J198" s="31" t="b">
        <v>0</v>
      </c>
      <c r="K198" s="32" t="b">
        <v>0</v>
      </c>
    </row>
    <row r="199" spans="2:11" ht="17" x14ac:dyDescent="0.2">
      <c r="B199" s="335" t="s">
        <v>1410</v>
      </c>
      <c r="C199" s="38" t="s">
        <v>551</v>
      </c>
      <c r="D199" s="166" t="s">
        <v>961</v>
      </c>
      <c r="E199" s="163">
        <v>0.13769999999999999</v>
      </c>
      <c r="F199" s="163">
        <v>7.1230000000000002E-2</v>
      </c>
      <c r="G199" s="270">
        <v>5.3150000000000003E-2</v>
      </c>
      <c r="H199" s="163">
        <v>5.6030000000000003E-3</v>
      </c>
      <c r="I199" s="163">
        <v>1.57E-3</v>
      </c>
      <c r="J199" s="31" t="b">
        <v>0</v>
      </c>
      <c r="K199" s="32" t="b">
        <v>0</v>
      </c>
    </row>
    <row r="200" spans="2:11" ht="17" x14ac:dyDescent="0.2">
      <c r="B200" s="335" t="s">
        <v>1406</v>
      </c>
      <c r="C200" s="38" t="s">
        <v>551</v>
      </c>
      <c r="D200" s="166" t="s">
        <v>960</v>
      </c>
      <c r="E200" s="163">
        <v>0.13600000000000001</v>
      </c>
      <c r="F200" s="163">
        <v>4.5990000000000003E-2</v>
      </c>
      <c r="G200" s="270">
        <v>3.104E-3</v>
      </c>
      <c r="H200" s="163">
        <v>2.2440000000000002E-2</v>
      </c>
      <c r="I200" s="163">
        <v>2.993E-3</v>
      </c>
      <c r="J200" s="31" t="b">
        <v>0</v>
      </c>
      <c r="K200" s="32" t="b">
        <v>0</v>
      </c>
    </row>
    <row r="201" spans="2:11" ht="17" x14ac:dyDescent="0.2">
      <c r="B201" s="335" t="s">
        <v>1405</v>
      </c>
      <c r="C201" s="38" t="s">
        <v>551</v>
      </c>
      <c r="D201" s="166" t="s">
        <v>961</v>
      </c>
      <c r="E201" s="163">
        <v>0.1353</v>
      </c>
      <c r="F201" s="163">
        <v>7.5219999999999995E-2</v>
      </c>
      <c r="G201" s="270">
        <v>7.2099999999999997E-2</v>
      </c>
      <c r="H201" s="163">
        <v>4.5409999999999999E-3</v>
      </c>
      <c r="I201" s="163">
        <v>1.242E-3</v>
      </c>
      <c r="J201" s="31" t="b">
        <v>0</v>
      </c>
      <c r="K201" s="32" t="b">
        <v>0</v>
      </c>
    </row>
    <row r="202" spans="2:11" ht="34" x14ac:dyDescent="0.2">
      <c r="B202" s="335" t="s">
        <v>1404</v>
      </c>
      <c r="C202" s="38" t="s">
        <v>551</v>
      </c>
      <c r="D202" s="166" t="s">
        <v>961</v>
      </c>
      <c r="E202" s="163">
        <v>0.13489999999999999</v>
      </c>
      <c r="F202" s="163">
        <v>3.7249999999999998E-2</v>
      </c>
      <c r="G202" s="151">
        <v>2.9409999999999999E-4</v>
      </c>
      <c r="H202" s="163">
        <v>2.0459999999999999E-2</v>
      </c>
      <c r="I202" s="163">
        <v>1.6000000000000001E-3</v>
      </c>
      <c r="J202" s="31" t="b">
        <v>0</v>
      </c>
      <c r="K202" s="32" t="b">
        <v>0</v>
      </c>
    </row>
    <row r="203" spans="2:11" ht="17" x14ac:dyDescent="0.2">
      <c r="B203" s="335" t="s">
        <v>1403</v>
      </c>
      <c r="C203" s="38" t="s">
        <v>551</v>
      </c>
      <c r="D203" s="166" t="s">
        <v>961</v>
      </c>
      <c r="E203" s="163">
        <v>0.13469999999999999</v>
      </c>
      <c r="F203" s="163">
        <v>6.3049999999999995E-2</v>
      </c>
      <c r="G203" s="270">
        <v>3.27E-2</v>
      </c>
      <c r="H203" s="163">
        <v>1.787E-2</v>
      </c>
      <c r="I203" s="163">
        <v>4.986E-3</v>
      </c>
      <c r="J203" s="31" t="b">
        <v>0</v>
      </c>
      <c r="K203" s="32" t="b">
        <v>0</v>
      </c>
    </row>
    <row r="204" spans="2:11" ht="17" x14ac:dyDescent="0.2">
      <c r="B204" s="335" t="s">
        <v>1402</v>
      </c>
      <c r="C204" s="38" t="s">
        <v>551</v>
      </c>
      <c r="D204" s="166" t="s">
        <v>961</v>
      </c>
      <c r="E204" s="163">
        <v>0.13439999999999999</v>
      </c>
      <c r="F204" s="163">
        <v>0.16320000000000001</v>
      </c>
      <c r="G204" s="270">
        <v>0.41010000000000002</v>
      </c>
      <c r="H204" s="163">
        <v>4.931E-2</v>
      </c>
      <c r="I204" s="163">
        <v>5.4120000000000001E-2</v>
      </c>
      <c r="J204" s="31" t="b">
        <v>0</v>
      </c>
      <c r="K204" s="32" t="b">
        <v>0</v>
      </c>
    </row>
    <row r="205" spans="2:11" ht="17" x14ac:dyDescent="0.2">
      <c r="B205" s="335" t="s">
        <v>1399</v>
      </c>
      <c r="C205" s="38" t="s">
        <v>551</v>
      </c>
      <c r="D205" s="166" t="s">
        <v>965</v>
      </c>
      <c r="E205" s="163">
        <v>0.1331</v>
      </c>
      <c r="F205" s="163">
        <v>8.7190000000000004E-2</v>
      </c>
      <c r="G205" s="270">
        <v>0.12690000000000001</v>
      </c>
      <c r="H205" s="163">
        <v>1.018E-2</v>
      </c>
      <c r="I205" s="163">
        <v>3.8049999999999998E-3</v>
      </c>
      <c r="J205" s="31" t="b">
        <v>0</v>
      </c>
      <c r="K205" s="32" t="b">
        <v>0</v>
      </c>
    </row>
    <row r="206" spans="2:11" ht="17" x14ac:dyDescent="0.2">
      <c r="B206" s="335" t="s">
        <v>1396</v>
      </c>
      <c r="C206" s="38" t="s">
        <v>551</v>
      </c>
      <c r="D206" s="166" t="s">
        <v>961</v>
      </c>
      <c r="E206" s="163">
        <v>0.1308</v>
      </c>
      <c r="F206" s="163">
        <v>3.7479999999999999E-2</v>
      </c>
      <c r="G206" s="151">
        <v>4.838E-4</v>
      </c>
      <c r="H206" s="163">
        <v>4.1529999999999997E-2</v>
      </c>
      <c r="I206" s="163">
        <v>6.5890000000000002E-3</v>
      </c>
      <c r="J206" s="31" t="b">
        <v>0</v>
      </c>
      <c r="K206" s="32" t="b">
        <v>0</v>
      </c>
    </row>
    <row r="207" spans="2:11" ht="34" x14ac:dyDescent="0.2">
      <c r="B207" s="335" t="s">
        <v>1395</v>
      </c>
      <c r="C207" s="38" t="s">
        <v>551</v>
      </c>
      <c r="D207" s="166" t="s">
        <v>961</v>
      </c>
      <c r="E207" s="163">
        <v>0.13070000000000001</v>
      </c>
      <c r="F207" s="163">
        <v>0.1036</v>
      </c>
      <c r="G207" s="270">
        <v>0.2072</v>
      </c>
      <c r="H207" s="163">
        <v>2.3800000000000002E-3</v>
      </c>
      <c r="I207" s="163">
        <v>1.188E-3</v>
      </c>
      <c r="J207" s="31" t="b">
        <v>0</v>
      </c>
      <c r="K207" s="32" t="b">
        <v>0</v>
      </c>
    </row>
    <row r="208" spans="2:11" ht="17" x14ac:dyDescent="0.2">
      <c r="B208" s="335" t="s">
        <v>1393</v>
      </c>
      <c r="C208" s="38" t="s">
        <v>551</v>
      </c>
      <c r="D208" s="166" t="s">
        <v>961</v>
      </c>
      <c r="E208" s="163">
        <v>0.1305</v>
      </c>
      <c r="F208" s="163">
        <v>3.9739999999999998E-2</v>
      </c>
      <c r="G208" s="270">
        <v>1.0269999999999999E-3</v>
      </c>
      <c r="H208" s="163">
        <v>1.9689999999999999E-2</v>
      </c>
      <c r="I208" s="163">
        <v>1.879E-3</v>
      </c>
      <c r="J208" s="31" t="b">
        <v>0</v>
      </c>
      <c r="K208" s="32" t="b">
        <v>0</v>
      </c>
    </row>
    <row r="209" spans="2:11" ht="34" x14ac:dyDescent="0.2">
      <c r="B209" s="335" t="s">
        <v>1394</v>
      </c>
      <c r="C209" s="38" t="s">
        <v>551</v>
      </c>
      <c r="D209" s="166" t="s">
        <v>961</v>
      </c>
      <c r="E209" s="163">
        <v>0.1305</v>
      </c>
      <c r="F209" s="163">
        <v>4.9520000000000002E-2</v>
      </c>
      <c r="G209" s="270">
        <v>8.3890000000000006E-3</v>
      </c>
      <c r="H209" s="163">
        <v>1.0749999999999999E-2</v>
      </c>
      <c r="I209" s="163">
        <v>1.47E-3</v>
      </c>
      <c r="J209" s="31" t="b">
        <v>0</v>
      </c>
      <c r="K209" s="32" t="b">
        <v>0</v>
      </c>
    </row>
    <row r="210" spans="2:11" ht="17" x14ac:dyDescent="0.2">
      <c r="B210" s="335" t="s">
        <v>1392</v>
      </c>
      <c r="C210" s="38" t="s">
        <v>551</v>
      </c>
      <c r="D210" s="166" t="s">
        <v>961</v>
      </c>
      <c r="E210" s="163">
        <v>0.1303</v>
      </c>
      <c r="F210" s="163">
        <v>0.10630000000000001</v>
      </c>
      <c r="G210" s="270">
        <v>0.2203</v>
      </c>
      <c r="H210" s="163">
        <v>2.9819999999999998E-3</v>
      </c>
      <c r="I210" s="163">
        <v>1.369E-3</v>
      </c>
      <c r="J210" s="31" t="b">
        <v>0</v>
      </c>
      <c r="K210" s="32" t="b">
        <v>0</v>
      </c>
    </row>
    <row r="211" spans="2:11" ht="17" x14ac:dyDescent="0.2">
      <c r="B211" s="335" t="s">
        <v>1390</v>
      </c>
      <c r="C211" s="38" t="s">
        <v>551</v>
      </c>
      <c r="D211" s="166" t="s">
        <v>961</v>
      </c>
      <c r="E211" s="163">
        <v>0.12839999999999999</v>
      </c>
      <c r="F211" s="163">
        <v>3.2779999999999997E-2</v>
      </c>
      <c r="G211" s="151">
        <v>9.0270000000000001E-5</v>
      </c>
      <c r="H211" s="163">
        <v>3.8120000000000001E-2</v>
      </c>
      <c r="I211" s="163">
        <v>2.1749999999999999E-3</v>
      </c>
      <c r="J211" s="31" t="b">
        <v>0</v>
      </c>
      <c r="K211" s="32" t="b">
        <v>0</v>
      </c>
    </row>
    <row r="212" spans="2:11" ht="17" x14ac:dyDescent="0.2">
      <c r="B212" s="335" t="s">
        <v>1391</v>
      </c>
      <c r="C212" s="38" t="s">
        <v>551</v>
      </c>
      <c r="D212" s="166" t="s">
        <v>961</v>
      </c>
      <c r="E212" s="163">
        <v>0.12839999999999999</v>
      </c>
      <c r="F212" s="163">
        <v>5.7959999999999998E-2</v>
      </c>
      <c r="G212" s="270">
        <v>2.6700000000000002E-2</v>
      </c>
      <c r="H212" s="163">
        <v>7.1859999999999997E-3</v>
      </c>
      <c r="I212" s="163">
        <v>1.4040000000000001E-3</v>
      </c>
      <c r="J212" s="31" t="b">
        <v>0</v>
      </c>
      <c r="K212" s="32" t="b">
        <v>0</v>
      </c>
    </row>
    <row r="213" spans="2:11" ht="17" x14ac:dyDescent="0.2">
      <c r="B213" s="335" t="s">
        <v>1389</v>
      </c>
      <c r="C213" s="38" t="s">
        <v>551</v>
      </c>
      <c r="D213" s="166" t="s">
        <v>961</v>
      </c>
      <c r="E213" s="163">
        <v>0.12820000000000001</v>
      </c>
      <c r="F213" s="163">
        <v>7.5620000000000007E-2</v>
      </c>
      <c r="G213" s="270">
        <v>9.01E-2</v>
      </c>
      <c r="H213" s="163">
        <v>4.3449999999999999E-3</v>
      </c>
      <c r="I213" s="163">
        <v>1.1969999999999999E-3</v>
      </c>
      <c r="J213" s="31" t="b">
        <v>0</v>
      </c>
      <c r="K213" s="32" t="b">
        <v>0</v>
      </c>
    </row>
    <row r="214" spans="2:11" ht="17" x14ac:dyDescent="0.2">
      <c r="B214" s="335" t="s">
        <v>1387</v>
      </c>
      <c r="C214" s="38" t="s">
        <v>551</v>
      </c>
      <c r="D214" s="166" t="s">
        <v>961</v>
      </c>
      <c r="E214" s="163">
        <v>0.12759999999999999</v>
      </c>
      <c r="F214" s="163">
        <v>8.3940000000000001E-2</v>
      </c>
      <c r="G214" s="270">
        <v>0.1283</v>
      </c>
      <c r="H214" s="163">
        <v>4.4679999999999997E-3</v>
      </c>
      <c r="I214" s="163">
        <v>1.3270000000000001E-3</v>
      </c>
      <c r="J214" s="31" t="b">
        <v>0</v>
      </c>
      <c r="K214" s="32" t="b">
        <v>0</v>
      </c>
    </row>
    <row r="215" spans="2:11" ht="17" x14ac:dyDescent="0.2">
      <c r="B215" s="335" t="s">
        <v>1386</v>
      </c>
      <c r="C215" s="38" t="s">
        <v>551</v>
      </c>
      <c r="D215" s="166" t="s">
        <v>961</v>
      </c>
      <c r="E215" s="163">
        <v>0.12620000000000001</v>
      </c>
      <c r="F215" s="163">
        <v>9.6360000000000001E-2</v>
      </c>
      <c r="G215" s="270">
        <v>0.1905</v>
      </c>
      <c r="H215" s="163">
        <v>2.6380000000000002E-3</v>
      </c>
      <c r="I215" s="163">
        <v>1.1689999999999999E-3</v>
      </c>
      <c r="J215" s="31" t="b">
        <v>0</v>
      </c>
      <c r="K215" s="32" t="b">
        <v>0</v>
      </c>
    </row>
    <row r="216" spans="2:11" ht="34" x14ac:dyDescent="0.2">
      <c r="B216" s="335" t="s">
        <v>1385</v>
      </c>
      <c r="C216" s="38" t="s">
        <v>551</v>
      </c>
      <c r="D216" s="166" t="s">
        <v>961</v>
      </c>
      <c r="E216" s="163">
        <v>0.12509999999999999</v>
      </c>
      <c r="F216" s="163">
        <v>5.688E-2</v>
      </c>
      <c r="G216" s="270">
        <v>2.7879999999999999E-2</v>
      </c>
      <c r="H216" s="163">
        <v>8.6669999999999994E-3</v>
      </c>
      <c r="I216" s="163">
        <v>1.526E-3</v>
      </c>
      <c r="J216" s="31" t="b">
        <v>0</v>
      </c>
      <c r="K216" s="32" t="b">
        <v>0</v>
      </c>
    </row>
    <row r="217" spans="2:11" ht="34" x14ac:dyDescent="0.2">
      <c r="B217" s="335" t="s">
        <v>1384</v>
      </c>
      <c r="C217" s="38" t="s">
        <v>551</v>
      </c>
      <c r="D217" s="166" t="s">
        <v>961</v>
      </c>
      <c r="E217" s="163">
        <v>0.1212</v>
      </c>
      <c r="F217" s="163">
        <v>8.1979999999999997E-2</v>
      </c>
      <c r="G217" s="270">
        <v>0.13919999999999999</v>
      </c>
      <c r="H217" s="163">
        <v>3.6489999999999999E-3</v>
      </c>
      <c r="I217" s="163">
        <v>1.387E-3</v>
      </c>
      <c r="J217" s="31" t="b">
        <v>0</v>
      </c>
      <c r="K217" s="32" t="b">
        <v>0</v>
      </c>
    </row>
    <row r="218" spans="2:11" ht="17" x14ac:dyDescent="0.2">
      <c r="B218" s="335" t="s">
        <v>1382</v>
      </c>
      <c r="C218" s="38" t="s">
        <v>551</v>
      </c>
      <c r="D218" s="166" t="s">
        <v>961</v>
      </c>
      <c r="E218" s="163">
        <v>0.12039999999999999</v>
      </c>
      <c r="F218" s="163">
        <v>4.4920000000000002E-2</v>
      </c>
      <c r="G218" s="270">
        <v>7.3379999999999999E-3</v>
      </c>
      <c r="H218" s="163">
        <v>5.5440000000000003E-2</v>
      </c>
      <c r="I218" s="163">
        <v>6.0229999999999997E-3</v>
      </c>
      <c r="J218" s="31" t="b">
        <v>0</v>
      </c>
      <c r="K218" s="32" t="b">
        <v>0</v>
      </c>
    </row>
    <row r="219" spans="2:11" ht="17" x14ac:dyDescent="0.2">
      <c r="B219" s="335" t="s">
        <v>1381</v>
      </c>
      <c r="C219" s="38" t="s">
        <v>551</v>
      </c>
      <c r="D219" s="166" t="s">
        <v>961</v>
      </c>
      <c r="E219" s="163">
        <v>0.1202</v>
      </c>
      <c r="F219" s="163">
        <v>6.7229999999999998E-2</v>
      </c>
      <c r="G219" s="270">
        <v>7.3709999999999998E-2</v>
      </c>
      <c r="H219" s="163">
        <v>6.7840000000000001E-3</v>
      </c>
      <c r="I219" s="163">
        <v>1.256E-3</v>
      </c>
      <c r="J219" s="31" t="b">
        <v>0</v>
      </c>
      <c r="K219" s="32" t="b">
        <v>0</v>
      </c>
    </row>
    <row r="220" spans="2:11" ht="34" x14ac:dyDescent="0.2">
      <c r="B220" s="335" t="s">
        <v>1380</v>
      </c>
      <c r="C220" s="38" t="s">
        <v>551</v>
      </c>
      <c r="D220" s="166" t="s">
        <v>961</v>
      </c>
      <c r="E220" s="163">
        <v>0.11990000000000001</v>
      </c>
      <c r="F220" s="163">
        <v>0.1391</v>
      </c>
      <c r="G220" s="270">
        <v>0.38879999999999998</v>
      </c>
      <c r="H220" s="163">
        <v>0.10349999999999999</v>
      </c>
      <c r="I220" s="163">
        <v>8.5180000000000006E-2</v>
      </c>
      <c r="J220" s="31" t="b">
        <v>0</v>
      </c>
      <c r="K220" s="32" t="b">
        <v>0</v>
      </c>
    </row>
    <row r="221" spans="2:11" ht="17" x14ac:dyDescent="0.2">
      <c r="B221" s="335" t="s">
        <v>1379</v>
      </c>
      <c r="C221" s="38" t="s">
        <v>551</v>
      </c>
      <c r="D221" s="166" t="s">
        <v>961</v>
      </c>
      <c r="E221" s="163">
        <v>0.11799999999999999</v>
      </c>
      <c r="F221" s="163">
        <v>4.7739999999999998E-2</v>
      </c>
      <c r="G221" s="270">
        <v>1.3429999999999999E-2</v>
      </c>
      <c r="H221" s="163">
        <v>1.418E-2</v>
      </c>
      <c r="I221" s="163">
        <v>1.6930000000000001E-3</v>
      </c>
      <c r="J221" s="31" t="b">
        <v>0</v>
      </c>
      <c r="K221" s="32" t="b">
        <v>0</v>
      </c>
    </row>
    <row r="222" spans="2:11" ht="17" x14ac:dyDescent="0.2">
      <c r="B222" s="335" t="s">
        <v>1378</v>
      </c>
      <c r="C222" s="38" t="s">
        <v>551</v>
      </c>
      <c r="D222" s="166" t="s">
        <v>961</v>
      </c>
      <c r="E222" s="163">
        <v>0.1177</v>
      </c>
      <c r="F222" s="163">
        <v>8.0369999999999997E-2</v>
      </c>
      <c r="G222" s="270">
        <v>0.14299999999999999</v>
      </c>
      <c r="H222" s="163">
        <v>6.2370000000000004E-3</v>
      </c>
      <c r="I222" s="163">
        <v>1.5269999999999999E-3</v>
      </c>
      <c r="J222" s="31" t="b">
        <v>0</v>
      </c>
      <c r="K222" s="32" t="b">
        <v>0</v>
      </c>
    </row>
    <row r="223" spans="2:11" ht="17" x14ac:dyDescent="0.2">
      <c r="B223" s="335" t="s">
        <v>1377</v>
      </c>
      <c r="C223" s="38" t="s">
        <v>551</v>
      </c>
      <c r="D223" s="166" t="s">
        <v>961</v>
      </c>
      <c r="E223" s="163">
        <v>0.11749999999999999</v>
      </c>
      <c r="F223" s="163">
        <v>8.2769999999999996E-2</v>
      </c>
      <c r="G223" s="270">
        <v>0.15559999999999999</v>
      </c>
      <c r="H223" s="163">
        <v>8.0160000000000006E-3</v>
      </c>
      <c r="I223" s="163">
        <v>2.1909999999999998E-3</v>
      </c>
      <c r="J223" s="31" t="b">
        <v>0</v>
      </c>
      <c r="K223" s="32" t="b">
        <v>0</v>
      </c>
    </row>
    <row r="224" spans="2:11" ht="17" x14ac:dyDescent="0.2">
      <c r="B224" s="335" t="s">
        <v>1376</v>
      </c>
      <c r="C224" s="38" t="s">
        <v>1037</v>
      </c>
      <c r="D224" s="166" t="s">
        <v>965</v>
      </c>
      <c r="E224" s="163">
        <v>0.11609999999999999</v>
      </c>
      <c r="F224" s="163">
        <v>3.6560000000000002E-2</v>
      </c>
      <c r="G224" s="270">
        <v>1.4920000000000001E-3</v>
      </c>
      <c r="H224" s="163">
        <v>0.11849999999999999</v>
      </c>
      <c r="I224" s="163">
        <v>1.455E-2</v>
      </c>
      <c r="J224" s="31" t="b">
        <v>0</v>
      </c>
      <c r="K224" s="32" t="b">
        <v>0</v>
      </c>
    </row>
    <row r="225" spans="2:11" ht="17" x14ac:dyDescent="0.2">
      <c r="B225" s="335" t="s">
        <v>1374</v>
      </c>
      <c r="C225" s="38" t="s">
        <v>551</v>
      </c>
      <c r="D225" s="166" t="s">
        <v>961</v>
      </c>
      <c r="E225" s="163">
        <v>0.11600000000000001</v>
      </c>
      <c r="F225" s="163">
        <v>4.616E-2</v>
      </c>
      <c r="G225" s="270">
        <v>1.201E-2</v>
      </c>
      <c r="H225" s="163">
        <v>1.5630000000000002E-2</v>
      </c>
      <c r="I225" s="163">
        <v>1.8270000000000001E-3</v>
      </c>
      <c r="J225" s="31" t="b">
        <v>0</v>
      </c>
      <c r="K225" s="32" t="b">
        <v>0</v>
      </c>
    </row>
    <row r="226" spans="2:11" ht="17" x14ac:dyDescent="0.2">
      <c r="B226" s="335" t="s">
        <v>1375</v>
      </c>
      <c r="C226" s="38" t="s">
        <v>551</v>
      </c>
      <c r="D226" s="166" t="s">
        <v>961</v>
      </c>
      <c r="E226" s="163">
        <v>0.11600000000000001</v>
      </c>
      <c r="F226" s="163">
        <v>4.616E-2</v>
      </c>
      <c r="G226" s="270">
        <v>1.201E-2</v>
      </c>
      <c r="H226" s="163">
        <v>1.5630000000000002E-2</v>
      </c>
      <c r="I226" s="163">
        <v>1.8270000000000001E-3</v>
      </c>
      <c r="J226" s="31" t="b">
        <v>0</v>
      </c>
      <c r="K226" s="32" t="b">
        <v>0</v>
      </c>
    </row>
    <row r="227" spans="2:11" ht="17" x14ac:dyDescent="0.2">
      <c r="B227" s="335" t="s">
        <v>1373</v>
      </c>
      <c r="C227" s="38" t="s">
        <v>551</v>
      </c>
      <c r="D227" s="166" t="s">
        <v>961</v>
      </c>
      <c r="E227" s="163">
        <v>0.1159</v>
      </c>
      <c r="F227" s="163">
        <v>0.1057</v>
      </c>
      <c r="G227" s="270">
        <v>0.27239999999999998</v>
      </c>
      <c r="H227" s="163">
        <v>2.794E-3</v>
      </c>
      <c r="I227" s="163">
        <v>1.2409999999999999E-3</v>
      </c>
      <c r="J227" s="31" t="b">
        <v>0</v>
      </c>
      <c r="K227" s="32" t="b">
        <v>0</v>
      </c>
    </row>
    <row r="228" spans="2:11" ht="17" x14ac:dyDescent="0.2">
      <c r="B228" s="335" t="s">
        <v>1372</v>
      </c>
      <c r="C228" s="38" t="s">
        <v>551</v>
      </c>
      <c r="D228" s="166" t="s">
        <v>961</v>
      </c>
      <c r="E228" s="163">
        <v>0.1152</v>
      </c>
      <c r="F228" s="163">
        <v>4.2349999999999999E-2</v>
      </c>
      <c r="G228" s="270">
        <v>6.5129999999999997E-3</v>
      </c>
      <c r="H228" s="163">
        <v>5.0459999999999998E-2</v>
      </c>
      <c r="I228" s="163">
        <v>5.2550000000000001E-3</v>
      </c>
      <c r="J228" s="31" t="b">
        <v>0</v>
      </c>
      <c r="K228" s="32" t="b">
        <v>0</v>
      </c>
    </row>
    <row r="229" spans="2:11" ht="17" x14ac:dyDescent="0.2">
      <c r="B229" s="335" t="s">
        <v>1371</v>
      </c>
      <c r="C229" s="38" t="s">
        <v>551</v>
      </c>
      <c r="D229" s="166" t="s">
        <v>961</v>
      </c>
      <c r="E229" s="163">
        <v>0.11459999999999999</v>
      </c>
      <c r="F229" s="163">
        <v>4.5789999999999997E-2</v>
      </c>
      <c r="G229" s="270">
        <v>1.2359999999999999E-2</v>
      </c>
      <c r="H229" s="163">
        <v>1.167E-2</v>
      </c>
      <c r="I229" s="163">
        <v>2.0539999999999998E-3</v>
      </c>
      <c r="J229" s="31" t="b">
        <v>0</v>
      </c>
      <c r="K229" s="32" t="b">
        <v>0</v>
      </c>
    </row>
    <row r="230" spans="2:11" ht="17" x14ac:dyDescent="0.2">
      <c r="B230" s="335" t="s">
        <v>1369</v>
      </c>
      <c r="C230" s="38" t="s">
        <v>551</v>
      </c>
      <c r="D230" s="166" t="s">
        <v>961</v>
      </c>
      <c r="E230" s="163">
        <v>0.11360000000000001</v>
      </c>
      <c r="F230" s="163">
        <v>5.3940000000000002E-2</v>
      </c>
      <c r="G230" s="270">
        <v>3.5220000000000001E-2</v>
      </c>
      <c r="H230" s="163">
        <v>7.6930000000000002E-3</v>
      </c>
      <c r="I230" s="163">
        <v>1.505E-3</v>
      </c>
      <c r="J230" s="31" t="b">
        <v>0</v>
      </c>
      <c r="K230" s="32" t="b">
        <v>0</v>
      </c>
    </row>
    <row r="231" spans="2:11" ht="17" x14ac:dyDescent="0.2">
      <c r="B231" s="335" t="s">
        <v>1370</v>
      </c>
      <c r="C231" s="38" t="s">
        <v>551</v>
      </c>
      <c r="D231" s="166" t="s">
        <v>961</v>
      </c>
      <c r="E231" s="163">
        <v>0.11360000000000001</v>
      </c>
      <c r="F231" s="163">
        <v>5.688E-2</v>
      </c>
      <c r="G231" s="270">
        <v>4.5909999999999999E-2</v>
      </c>
      <c r="H231" s="163">
        <v>5.552E-2</v>
      </c>
      <c r="I231" s="163">
        <v>9.5600000000000008E-3</v>
      </c>
      <c r="J231" s="31" t="b">
        <v>0</v>
      </c>
      <c r="K231" s="32" t="b">
        <v>0</v>
      </c>
    </row>
    <row r="232" spans="2:11" ht="17" x14ac:dyDescent="0.2">
      <c r="B232" s="335" t="s">
        <v>1368</v>
      </c>
      <c r="C232" s="38" t="s">
        <v>551</v>
      </c>
      <c r="D232" s="166" t="s">
        <v>961</v>
      </c>
      <c r="E232" s="163">
        <v>0.1134</v>
      </c>
      <c r="F232" s="163">
        <v>4.6339999999999999E-2</v>
      </c>
      <c r="G232" s="270">
        <v>1.443E-2</v>
      </c>
      <c r="H232" s="163">
        <v>1.094E-2</v>
      </c>
      <c r="I232" s="163">
        <v>1.6980000000000001E-3</v>
      </c>
      <c r="J232" s="31" t="b">
        <v>0</v>
      </c>
      <c r="K232" s="32" t="b">
        <v>0</v>
      </c>
    </row>
    <row r="233" spans="2:11" ht="17" x14ac:dyDescent="0.2">
      <c r="B233" s="335" t="s">
        <v>1367</v>
      </c>
      <c r="C233" s="38" t="s">
        <v>551</v>
      </c>
      <c r="D233" s="166" t="s">
        <v>961</v>
      </c>
      <c r="E233" s="163">
        <v>0.11269999999999999</v>
      </c>
      <c r="F233" s="163">
        <v>4.1200000000000001E-2</v>
      </c>
      <c r="G233" s="270">
        <v>6.2290000000000002E-3</v>
      </c>
      <c r="H233" s="163">
        <v>1.797E-2</v>
      </c>
      <c r="I233" s="163">
        <v>1.585E-3</v>
      </c>
      <c r="J233" s="31" t="b">
        <v>0</v>
      </c>
      <c r="K233" s="32" t="b">
        <v>0</v>
      </c>
    </row>
    <row r="234" spans="2:11" ht="34" x14ac:dyDescent="0.2">
      <c r="B234" s="335" t="s">
        <v>1366</v>
      </c>
      <c r="C234" s="38" t="s">
        <v>551</v>
      </c>
      <c r="D234" s="166" t="s">
        <v>961</v>
      </c>
      <c r="E234" s="163">
        <v>0.1114</v>
      </c>
      <c r="F234" s="163">
        <v>9.5939999999999998E-2</v>
      </c>
      <c r="G234" s="270">
        <v>0.2455</v>
      </c>
      <c r="H234" s="163">
        <v>3.0829999999999998E-3</v>
      </c>
      <c r="I234" s="163">
        <v>1.3359999999999999E-3</v>
      </c>
      <c r="J234" s="31" t="b">
        <v>0</v>
      </c>
      <c r="K234" s="32" t="b">
        <v>0</v>
      </c>
    </row>
    <row r="235" spans="2:11" ht="17" x14ac:dyDescent="0.2">
      <c r="B235" s="335" t="s">
        <v>1365</v>
      </c>
      <c r="C235" s="38" t="s">
        <v>551</v>
      </c>
      <c r="D235" s="166" t="s">
        <v>961</v>
      </c>
      <c r="E235" s="163">
        <v>0.1113</v>
      </c>
      <c r="F235" s="163">
        <v>6.5989999999999993E-2</v>
      </c>
      <c r="G235" s="270">
        <v>9.1740000000000002E-2</v>
      </c>
      <c r="H235" s="163">
        <v>5.9309999999999996E-3</v>
      </c>
      <c r="I235" s="163">
        <v>1.322E-3</v>
      </c>
      <c r="J235" s="31" t="b">
        <v>0</v>
      </c>
      <c r="K235" s="32" t="b">
        <v>0</v>
      </c>
    </row>
    <row r="236" spans="2:11" ht="17" x14ac:dyDescent="0.2">
      <c r="B236" s="335" t="s">
        <v>1364</v>
      </c>
      <c r="C236" s="38" t="s">
        <v>551</v>
      </c>
      <c r="D236" s="166" t="s">
        <v>961</v>
      </c>
      <c r="E236" s="163">
        <v>0.11020000000000001</v>
      </c>
      <c r="F236" s="163">
        <v>6.5079999999999999E-2</v>
      </c>
      <c r="G236" s="270">
        <v>9.0260000000000007E-2</v>
      </c>
      <c r="H236" s="163">
        <v>5.3480000000000003E-3</v>
      </c>
      <c r="I236" s="163">
        <v>1.4040000000000001E-3</v>
      </c>
      <c r="J236" s="31" t="b">
        <v>0</v>
      </c>
      <c r="K236" s="32" t="b">
        <v>0</v>
      </c>
    </row>
    <row r="237" spans="2:11" ht="17" x14ac:dyDescent="0.2">
      <c r="B237" s="335" t="s">
        <v>1363</v>
      </c>
      <c r="C237" s="38" t="s">
        <v>551</v>
      </c>
      <c r="D237" s="166" t="s">
        <v>961</v>
      </c>
      <c r="E237" s="163">
        <v>0.1101</v>
      </c>
      <c r="F237" s="163">
        <v>8.2949999999999996E-2</v>
      </c>
      <c r="G237" s="270">
        <v>0.18440000000000001</v>
      </c>
      <c r="H237" s="163">
        <v>6.0099999999999997E-3</v>
      </c>
      <c r="I237" s="163">
        <v>1.506E-3</v>
      </c>
      <c r="J237" s="31" t="b">
        <v>0</v>
      </c>
      <c r="K237" s="32" t="b">
        <v>0</v>
      </c>
    </row>
    <row r="238" spans="2:11" ht="17" x14ac:dyDescent="0.2">
      <c r="B238" s="335" t="s">
        <v>1362</v>
      </c>
      <c r="C238" s="38" t="s">
        <v>551</v>
      </c>
      <c r="D238" s="166" t="s">
        <v>961</v>
      </c>
      <c r="E238" s="163">
        <v>0.1096</v>
      </c>
      <c r="F238" s="163">
        <v>4.8129999999999999E-2</v>
      </c>
      <c r="G238" s="270">
        <v>2.2790000000000001E-2</v>
      </c>
      <c r="H238" s="163">
        <v>1.056E-2</v>
      </c>
      <c r="I238" s="163">
        <v>1.6329999999999999E-3</v>
      </c>
      <c r="J238" s="31" t="b">
        <v>0</v>
      </c>
      <c r="K238" s="32" t="b">
        <v>0</v>
      </c>
    </row>
    <row r="239" spans="2:11" ht="17" x14ac:dyDescent="0.2">
      <c r="B239" s="335" t="s">
        <v>1361</v>
      </c>
      <c r="C239" s="38" t="s">
        <v>551</v>
      </c>
      <c r="D239" s="166" t="s">
        <v>961</v>
      </c>
      <c r="E239" s="163">
        <v>0.109</v>
      </c>
      <c r="F239" s="163">
        <v>6.744E-2</v>
      </c>
      <c r="G239" s="270">
        <v>0.10589999999999999</v>
      </c>
      <c r="H239" s="163">
        <v>6.45E-3</v>
      </c>
      <c r="I239" s="163">
        <v>1.2340000000000001E-3</v>
      </c>
      <c r="J239" s="31" t="b">
        <v>0</v>
      </c>
      <c r="K239" s="32" t="b">
        <v>0</v>
      </c>
    </row>
    <row r="240" spans="2:11" ht="17" x14ac:dyDescent="0.2">
      <c r="B240" s="335" t="s">
        <v>1356</v>
      </c>
      <c r="C240" s="38" t="s">
        <v>551</v>
      </c>
      <c r="D240" s="166" t="s">
        <v>961</v>
      </c>
      <c r="E240" s="163">
        <v>0.1053</v>
      </c>
      <c r="F240" s="163">
        <v>6.794E-2</v>
      </c>
      <c r="G240" s="270">
        <v>0.1212</v>
      </c>
      <c r="H240" s="163">
        <v>5.0520000000000001E-3</v>
      </c>
      <c r="I240" s="163">
        <v>1.188E-3</v>
      </c>
      <c r="J240" s="31" t="b">
        <v>0</v>
      </c>
      <c r="K240" s="32" t="b">
        <v>0</v>
      </c>
    </row>
    <row r="241" spans="2:11" ht="34" x14ac:dyDescent="0.2">
      <c r="B241" s="335" t="s">
        <v>1354</v>
      </c>
      <c r="C241" s="38" t="s">
        <v>551</v>
      </c>
      <c r="D241" s="166" t="s">
        <v>961</v>
      </c>
      <c r="E241" s="163">
        <v>0.1045</v>
      </c>
      <c r="F241" s="163">
        <v>0.1166</v>
      </c>
      <c r="G241" s="270">
        <v>0.37009999999999998</v>
      </c>
      <c r="H241" s="163">
        <v>2.6740000000000002E-3</v>
      </c>
      <c r="I241" s="163">
        <v>1.2600000000000001E-3</v>
      </c>
      <c r="J241" s="31" t="b">
        <v>0</v>
      </c>
      <c r="K241" s="32" t="b">
        <v>0</v>
      </c>
    </row>
    <row r="242" spans="2:11" ht="17" x14ac:dyDescent="0.2">
      <c r="B242" s="335" t="s">
        <v>1353</v>
      </c>
      <c r="C242" s="38" t="s">
        <v>1037</v>
      </c>
      <c r="D242" s="166" t="s">
        <v>965</v>
      </c>
      <c r="E242" s="163">
        <v>0.1033</v>
      </c>
      <c r="F242" s="163">
        <v>3.6159999999999998E-2</v>
      </c>
      <c r="G242" s="270">
        <v>4.2690000000000002E-3</v>
      </c>
      <c r="H242" s="163">
        <v>0.16550000000000001</v>
      </c>
      <c r="I242" s="163">
        <v>1.8700000000000001E-2</v>
      </c>
      <c r="J242" s="31" t="b">
        <v>0</v>
      </c>
      <c r="K242" s="32" t="b">
        <v>0</v>
      </c>
    </row>
    <row r="243" spans="2:11" ht="17" x14ac:dyDescent="0.2">
      <c r="B243" s="335" t="s">
        <v>1352</v>
      </c>
      <c r="C243" s="38" t="s">
        <v>551</v>
      </c>
      <c r="D243" s="166" t="s">
        <v>961</v>
      </c>
      <c r="E243" s="163">
        <v>0.1024</v>
      </c>
      <c r="F243" s="163">
        <v>4.6260000000000003E-2</v>
      </c>
      <c r="G243" s="270">
        <v>2.6880000000000001E-2</v>
      </c>
      <c r="H243" s="163">
        <v>1.047E-2</v>
      </c>
      <c r="I243" s="163">
        <v>1.89E-3</v>
      </c>
      <c r="J243" s="31" t="b">
        <v>0</v>
      </c>
      <c r="K243" s="32" t="b">
        <v>0</v>
      </c>
    </row>
    <row r="244" spans="2:11" ht="17" x14ac:dyDescent="0.2">
      <c r="B244" s="335" t="s">
        <v>1351</v>
      </c>
      <c r="C244" s="38" t="s">
        <v>551</v>
      </c>
      <c r="D244" s="166" t="s">
        <v>961</v>
      </c>
      <c r="E244" s="163">
        <v>0.1007</v>
      </c>
      <c r="F244" s="163">
        <v>3.567E-2</v>
      </c>
      <c r="G244" s="270">
        <v>4.7710000000000001E-3</v>
      </c>
      <c r="H244" s="163">
        <v>2.8989999999999998E-2</v>
      </c>
      <c r="I244" s="163">
        <v>2.209E-3</v>
      </c>
      <c r="J244" s="31" t="b">
        <v>0</v>
      </c>
      <c r="K244" s="32" t="b">
        <v>0</v>
      </c>
    </row>
    <row r="245" spans="2:11" ht="17" x14ac:dyDescent="0.2">
      <c r="B245" s="335" t="s">
        <v>1350</v>
      </c>
      <c r="C245" s="38" t="s">
        <v>1037</v>
      </c>
      <c r="D245" s="166" t="s">
        <v>965</v>
      </c>
      <c r="E245" s="163">
        <v>0.10059999999999999</v>
      </c>
      <c r="F245" s="163">
        <v>3.6810000000000002E-2</v>
      </c>
      <c r="G245" s="270">
        <v>6.2890000000000003E-3</v>
      </c>
      <c r="H245" s="163">
        <v>0.1658</v>
      </c>
      <c r="I245" s="163">
        <v>1.9120000000000002E-2</v>
      </c>
      <c r="J245" s="31" t="b">
        <v>0</v>
      </c>
      <c r="K245" s="32" t="b">
        <v>0</v>
      </c>
    </row>
    <row r="246" spans="2:11" ht="17" x14ac:dyDescent="0.2">
      <c r="B246" s="335" t="s">
        <v>1349</v>
      </c>
      <c r="C246" s="38" t="s">
        <v>551</v>
      </c>
      <c r="D246" s="166" t="s">
        <v>961</v>
      </c>
      <c r="E246" s="163">
        <v>0.1003</v>
      </c>
      <c r="F246" s="163">
        <v>0.113</v>
      </c>
      <c r="G246" s="270">
        <v>0.375</v>
      </c>
      <c r="H246" s="163">
        <v>2.369E-3</v>
      </c>
      <c r="I246" s="163">
        <v>1.2329999999999999E-3</v>
      </c>
      <c r="J246" s="31" t="b">
        <v>0</v>
      </c>
      <c r="K246" s="32" t="b">
        <v>0</v>
      </c>
    </row>
    <row r="247" spans="2:11" ht="17" x14ac:dyDescent="0.2">
      <c r="B247" s="335" t="s">
        <v>1348</v>
      </c>
      <c r="C247" s="38" t="s">
        <v>551</v>
      </c>
      <c r="D247" s="166" t="s">
        <v>961</v>
      </c>
      <c r="E247" s="163">
        <v>9.9989999999999996E-2</v>
      </c>
      <c r="F247" s="163">
        <v>5.5939999999999997E-2</v>
      </c>
      <c r="G247" s="270">
        <v>7.3849999999999999E-2</v>
      </c>
      <c r="H247" s="163">
        <v>7.2550000000000002E-3</v>
      </c>
      <c r="I247" s="163">
        <v>1.3420000000000001E-3</v>
      </c>
      <c r="J247" s="31" t="b">
        <v>0</v>
      </c>
      <c r="K247" s="32" t="b">
        <v>0</v>
      </c>
    </row>
    <row r="248" spans="2:11" ht="17" x14ac:dyDescent="0.2">
      <c r="B248" s="335" t="s">
        <v>1347</v>
      </c>
      <c r="C248" s="38" t="s">
        <v>551</v>
      </c>
      <c r="D248" s="166" t="s">
        <v>965</v>
      </c>
      <c r="E248" s="163">
        <v>9.9250000000000005E-2</v>
      </c>
      <c r="F248" s="163">
        <v>2.674E-2</v>
      </c>
      <c r="G248" s="151">
        <v>2.062E-4</v>
      </c>
      <c r="H248" s="163">
        <v>7.0190000000000002E-2</v>
      </c>
      <c r="I248" s="163">
        <v>2.9910000000000002E-3</v>
      </c>
      <c r="J248" s="31" t="b">
        <v>0</v>
      </c>
      <c r="K248" s="32" t="b">
        <v>0</v>
      </c>
    </row>
    <row r="249" spans="2:11" ht="34" x14ac:dyDescent="0.2">
      <c r="B249" s="335" t="s">
        <v>1346</v>
      </c>
      <c r="C249" s="38" t="s">
        <v>551</v>
      </c>
      <c r="D249" s="166" t="s">
        <v>961</v>
      </c>
      <c r="E249" s="163">
        <v>9.9040000000000003E-2</v>
      </c>
      <c r="F249" s="163">
        <v>7.1879999999999999E-2</v>
      </c>
      <c r="G249" s="270">
        <v>0.16830000000000001</v>
      </c>
      <c r="H249" s="163">
        <v>6.3299999999999997E-3</v>
      </c>
      <c r="I249" s="163">
        <v>1.639E-3</v>
      </c>
      <c r="J249" s="31" t="b">
        <v>0</v>
      </c>
      <c r="K249" s="32" t="b">
        <v>0</v>
      </c>
    </row>
    <row r="250" spans="2:11" ht="17" x14ac:dyDescent="0.2">
      <c r="B250" s="335" t="s">
        <v>1343</v>
      </c>
      <c r="C250" s="38" t="s">
        <v>551</v>
      </c>
      <c r="D250" s="166" t="s">
        <v>961</v>
      </c>
      <c r="E250" s="163">
        <v>9.9030000000000007E-2</v>
      </c>
      <c r="F250" s="163">
        <v>6.4630000000000007E-2</v>
      </c>
      <c r="G250" s="270">
        <v>0.1255</v>
      </c>
      <c r="H250" s="163">
        <v>5.4920000000000004E-3</v>
      </c>
      <c r="I250" s="163">
        <v>1.219E-3</v>
      </c>
      <c r="J250" s="31" t="b">
        <v>0</v>
      </c>
      <c r="K250" s="32" t="b">
        <v>0</v>
      </c>
    </row>
    <row r="251" spans="2:11" ht="17" x14ac:dyDescent="0.2">
      <c r="B251" s="335" t="s">
        <v>1344</v>
      </c>
      <c r="C251" s="38" t="s">
        <v>551</v>
      </c>
      <c r="D251" s="166" t="s">
        <v>961</v>
      </c>
      <c r="E251" s="163">
        <v>9.9030000000000007E-2</v>
      </c>
      <c r="F251" s="163">
        <v>6.4630000000000007E-2</v>
      </c>
      <c r="G251" s="270">
        <v>0.1255</v>
      </c>
      <c r="H251" s="163">
        <v>5.4920000000000004E-3</v>
      </c>
      <c r="I251" s="163">
        <v>1.219E-3</v>
      </c>
      <c r="J251" s="31" t="b">
        <v>0</v>
      </c>
      <c r="K251" s="32" t="b">
        <v>0</v>
      </c>
    </row>
    <row r="252" spans="2:11" ht="17" x14ac:dyDescent="0.2">
      <c r="B252" s="335" t="s">
        <v>1345</v>
      </c>
      <c r="C252" s="38" t="s">
        <v>551</v>
      </c>
      <c r="D252" s="166" t="s">
        <v>961</v>
      </c>
      <c r="E252" s="163">
        <v>9.9030000000000007E-2</v>
      </c>
      <c r="F252" s="163">
        <v>6.4630000000000007E-2</v>
      </c>
      <c r="G252" s="270">
        <v>0.1255</v>
      </c>
      <c r="H252" s="163">
        <v>5.4920000000000004E-3</v>
      </c>
      <c r="I252" s="163">
        <v>1.219E-3</v>
      </c>
      <c r="J252" s="31" t="b">
        <v>0</v>
      </c>
      <c r="K252" s="32" t="b">
        <v>0</v>
      </c>
    </row>
    <row r="253" spans="2:11" ht="17" x14ac:dyDescent="0.2">
      <c r="B253" s="335" t="s">
        <v>1341</v>
      </c>
      <c r="C253" s="38" t="s">
        <v>551</v>
      </c>
      <c r="D253" s="166" t="s">
        <v>961</v>
      </c>
      <c r="E253" s="163">
        <v>9.826E-2</v>
      </c>
      <c r="F253" s="163">
        <v>8.0119999999999997E-2</v>
      </c>
      <c r="G253" s="270">
        <v>0.22009999999999999</v>
      </c>
      <c r="H253" s="163">
        <v>3.385E-3</v>
      </c>
      <c r="I253" s="163">
        <v>1.106E-3</v>
      </c>
      <c r="J253" s="31" t="b">
        <v>0</v>
      </c>
      <c r="K253" s="32" t="b">
        <v>0</v>
      </c>
    </row>
    <row r="254" spans="2:11" ht="17" x14ac:dyDescent="0.2">
      <c r="B254" s="335" t="s">
        <v>1339</v>
      </c>
      <c r="C254" s="38" t="s">
        <v>551</v>
      </c>
      <c r="D254" s="166" t="s">
        <v>961</v>
      </c>
      <c r="E254" s="163">
        <v>9.7860000000000003E-2</v>
      </c>
      <c r="F254" s="163">
        <v>7.7270000000000005E-2</v>
      </c>
      <c r="G254" s="270">
        <v>0.20530000000000001</v>
      </c>
      <c r="H254" s="163">
        <v>4.6589999999999999E-3</v>
      </c>
      <c r="I254" s="163">
        <v>1.2769999999999999E-3</v>
      </c>
      <c r="J254" s="31" t="b">
        <v>0</v>
      </c>
      <c r="K254" s="32" t="b">
        <v>0</v>
      </c>
    </row>
    <row r="255" spans="2:11" ht="17" x14ac:dyDescent="0.2">
      <c r="B255" s="335" t="s">
        <v>1338</v>
      </c>
      <c r="C255" s="38" t="s">
        <v>551</v>
      </c>
      <c r="D255" s="166" t="s">
        <v>961</v>
      </c>
      <c r="E255" s="163">
        <v>9.7850000000000006E-2</v>
      </c>
      <c r="F255" s="163">
        <v>6.4879999999999993E-2</v>
      </c>
      <c r="G255" s="270">
        <v>0.13150000000000001</v>
      </c>
      <c r="H255" s="163">
        <v>5.94E-3</v>
      </c>
      <c r="I255" s="163">
        <v>1.3110000000000001E-3</v>
      </c>
      <c r="J255" s="31" t="b">
        <v>0</v>
      </c>
      <c r="K255" s="32" t="b">
        <v>0</v>
      </c>
    </row>
    <row r="256" spans="2:11" ht="17" x14ac:dyDescent="0.2">
      <c r="B256" s="335" t="s">
        <v>1337</v>
      </c>
      <c r="C256" s="38" t="s">
        <v>551</v>
      </c>
      <c r="D256" s="166" t="s">
        <v>961</v>
      </c>
      <c r="E256" s="163">
        <v>9.7369999999999998E-2</v>
      </c>
      <c r="F256" s="163">
        <v>6.4399999999999999E-2</v>
      </c>
      <c r="G256" s="270">
        <v>0.1305</v>
      </c>
      <c r="H256" s="163">
        <v>5.8900000000000003E-3</v>
      </c>
      <c r="I256" s="163">
        <v>1.9880000000000002E-3</v>
      </c>
      <c r="J256" s="31" t="b">
        <v>0</v>
      </c>
      <c r="K256" s="32" t="b">
        <v>0</v>
      </c>
    </row>
    <row r="257" spans="2:11" ht="17" x14ac:dyDescent="0.2">
      <c r="B257" s="335" t="s">
        <v>1335</v>
      </c>
      <c r="C257" s="38" t="s">
        <v>551</v>
      </c>
      <c r="D257" s="166" t="s">
        <v>960</v>
      </c>
      <c r="E257" s="163">
        <v>9.7009999999999999E-2</v>
      </c>
      <c r="F257" s="163">
        <v>2.5399999999999999E-2</v>
      </c>
      <c r="G257" s="151">
        <v>1.338E-4</v>
      </c>
      <c r="H257" s="163">
        <v>7.5259999999999994E-2</v>
      </c>
      <c r="I257" s="163">
        <v>3.2859999999999999E-3</v>
      </c>
      <c r="J257" s="31" t="b">
        <v>0</v>
      </c>
      <c r="K257" s="32" t="b">
        <v>0</v>
      </c>
    </row>
    <row r="258" spans="2:11" ht="17" x14ac:dyDescent="0.2">
      <c r="B258" s="335" t="s">
        <v>1334</v>
      </c>
      <c r="C258" s="38" t="s">
        <v>551</v>
      </c>
      <c r="D258" s="166" t="s">
        <v>965</v>
      </c>
      <c r="E258" s="163">
        <v>9.6710000000000004E-2</v>
      </c>
      <c r="F258" s="163">
        <v>8.1299999999999997E-2</v>
      </c>
      <c r="G258" s="270">
        <v>0.23419999999999999</v>
      </c>
      <c r="H258" s="163">
        <v>0.1633</v>
      </c>
      <c r="I258" s="163">
        <v>4.6010000000000002E-2</v>
      </c>
      <c r="J258" s="31" t="b">
        <v>0</v>
      </c>
      <c r="K258" s="32" t="b">
        <v>0</v>
      </c>
    </row>
    <row r="259" spans="2:11" ht="17" x14ac:dyDescent="0.2">
      <c r="B259" s="335" t="s">
        <v>1332</v>
      </c>
      <c r="C259" s="38" t="s">
        <v>551</v>
      </c>
      <c r="D259" s="166" t="s">
        <v>961</v>
      </c>
      <c r="E259" s="163">
        <v>9.393E-2</v>
      </c>
      <c r="F259" s="163">
        <v>4.1500000000000002E-2</v>
      </c>
      <c r="G259" s="270">
        <v>2.3599999999999999E-2</v>
      </c>
      <c r="H259" s="163">
        <v>5.8930000000000003E-2</v>
      </c>
      <c r="I259" s="163">
        <v>6.2940000000000001E-3</v>
      </c>
      <c r="J259" s="31" t="b">
        <v>0</v>
      </c>
      <c r="K259" s="32" t="b">
        <v>0</v>
      </c>
    </row>
    <row r="260" spans="2:11" ht="17" x14ac:dyDescent="0.2">
      <c r="B260" s="335" t="s">
        <v>1331</v>
      </c>
      <c r="C260" s="38" t="s">
        <v>551</v>
      </c>
      <c r="D260" s="166" t="s">
        <v>961</v>
      </c>
      <c r="E260" s="163">
        <v>9.3729999999999994E-2</v>
      </c>
      <c r="F260" s="163">
        <v>9.7180000000000002E-2</v>
      </c>
      <c r="G260" s="270">
        <v>0.33479999999999999</v>
      </c>
      <c r="H260" s="163">
        <v>2.9090000000000001E-3</v>
      </c>
      <c r="I260" s="163">
        <v>1.2229999999999999E-3</v>
      </c>
      <c r="J260" s="31" t="b">
        <v>0</v>
      </c>
      <c r="K260" s="32" t="b">
        <v>0</v>
      </c>
    </row>
    <row r="261" spans="2:11" ht="17" x14ac:dyDescent="0.2">
      <c r="B261" s="335" t="s">
        <v>1330</v>
      </c>
      <c r="C261" s="38" t="s">
        <v>551</v>
      </c>
      <c r="D261" s="166" t="s">
        <v>961</v>
      </c>
      <c r="E261" s="163">
        <v>9.3460000000000001E-2</v>
      </c>
      <c r="F261" s="163">
        <v>6.9580000000000003E-2</v>
      </c>
      <c r="G261" s="270">
        <v>0.1792</v>
      </c>
      <c r="H261" s="163">
        <v>5.1079999999999997E-3</v>
      </c>
      <c r="I261" s="163">
        <v>1.3489999999999999E-3</v>
      </c>
      <c r="J261" s="31" t="b">
        <v>0</v>
      </c>
      <c r="K261" s="32" t="b">
        <v>0</v>
      </c>
    </row>
    <row r="262" spans="2:11" ht="17" x14ac:dyDescent="0.2">
      <c r="B262" s="335" t="s">
        <v>1329</v>
      </c>
      <c r="C262" s="38" t="s">
        <v>551</v>
      </c>
      <c r="D262" s="166" t="s">
        <v>961</v>
      </c>
      <c r="E262" s="163">
        <v>9.3170000000000003E-2</v>
      </c>
      <c r="F262" s="163">
        <v>5.262E-2</v>
      </c>
      <c r="G262" s="270">
        <v>7.6649999999999996E-2</v>
      </c>
      <c r="H262" s="163">
        <v>1.056E-2</v>
      </c>
      <c r="I262" s="163">
        <v>1.467E-3</v>
      </c>
      <c r="J262" s="31" t="b">
        <v>0</v>
      </c>
      <c r="K262" s="32" t="b">
        <v>0</v>
      </c>
    </row>
    <row r="263" spans="2:11" ht="17" x14ac:dyDescent="0.2">
      <c r="B263" s="335" t="s">
        <v>1328</v>
      </c>
      <c r="C263" s="38" t="s">
        <v>551</v>
      </c>
      <c r="D263" s="166" t="s">
        <v>961</v>
      </c>
      <c r="E263" s="163">
        <v>9.2960000000000001E-2</v>
      </c>
      <c r="F263" s="163">
        <v>5.2609999999999997E-2</v>
      </c>
      <c r="G263" s="270">
        <v>7.7240000000000003E-2</v>
      </c>
      <c r="H263" s="163">
        <v>1.055E-2</v>
      </c>
      <c r="I263" s="163">
        <v>1.467E-3</v>
      </c>
      <c r="J263" s="31" t="b">
        <v>0</v>
      </c>
      <c r="K263" s="32" t="b">
        <v>0</v>
      </c>
    </row>
    <row r="264" spans="2:11" ht="17" x14ac:dyDescent="0.2">
      <c r="B264" s="335" t="s">
        <v>1327</v>
      </c>
      <c r="C264" s="38" t="s">
        <v>551</v>
      </c>
      <c r="D264" s="166" t="s">
        <v>961</v>
      </c>
      <c r="E264" s="163">
        <v>9.257E-2</v>
      </c>
      <c r="F264" s="163">
        <v>0.11219999999999999</v>
      </c>
      <c r="G264" s="270">
        <v>0.40949999999999998</v>
      </c>
      <c r="H264" s="163">
        <v>2.581E-3</v>
      </c>
      <c r="I264" s="163">
        <v>1.2290000000000001E-3</v>
      </c>
      <c r="J264" s="31" t="b">
        <v>0</v>
      </c>
      <c r="K264" s="32" t="b">
        <v>0</v>
      </c>
    </row>
    <row r="265" spans="2:11" ht="17" x14ac:dyDescent="0.2">
      <c r="B265" s="335" t="s">
        <v>1326</v>
      </c>
      <c r="C265" s="38" t="s">
        <v>551</v>
      </c>
      <c r="D265" s="166" t="s">
        <v>961</v>
      </c>
      <c r="E265" s="163">
        <v>9.221E-2</v>
      </c>
      <c r="F265" s="163">
        <v>8.9789999999999995E-2</v>
      </c>
      <c r="G265" s="270">
        <v>0.30449999999999999</v>
      </c>
      <c r="H265" s="163">
        <v>3.3140000000000001E-3</v>
      </c>
      <c r="I265" s="163">
        <v>1.299E-3</v>
      </c>
      <c r="J265" s="31" t="b">
        <v>0</v>
      </c>
      <c r="K265" s="32" t="b">
        <v>0</v>
      </c>
    </row>
    <row r="266" spans="2:11" ht="34" x14ac:dyDescent="0.2">
      <c r="B266" s="335" t="s">
        <v>1325</v>
      </c>
      <c r="C266" s="38" t="s">
        <v>551</v>
      </c>
      <c r="D266" s="166" t="s">
        <v>961</v>
      </c>
      <c r="E266" s="163">
        <v>9.1829999999999995E-2</v>
      </c>
      <c r="F266" s="163">
        <v>9.8369999999999999E-2</v>
      </c>
      <c r="G266" s="270">
        <v>0.35060000000000002</v>
      </c>
      <c r="H266" s="163">
        <v>3.7369999999999999E-3</v>
      </c>
      <c r="I266" s="163">
        <v>1.2949999999999999E-3</v>
      </c>
      <c r="J266" s="31" t="b">
        <v>0</v>
      </c>
      <c r="K266" s="32" t="b">
        <v>0</v>
      </c>
    </row>
    <row r="267" spans="2:11" ht="17" x14ac:dyDescent="0.2">
      <c r="B267" s="335" t="s">
        <v>1324</v>
      </c>
      <c r="C267" s="38" t="s">
        <v>551</v>
      </c>
      <c r="D267" s="166" t="s">
        <v>961</v>
      </c>
      <c r="E267" s="163">
        <v>9.1590000000000005E-2</v>
      </c>
      <c r="F267" s="163">
        <v>4.6420000000000003E-2</v>
      </c>
      <c r="G267" s="270">
        <v>4.8469999999999999E-2</v>
      </c>
      <c r="H267" s="163">
        <v>4.718E-2</v>
      </c>
      <c r="I267" s="163">
        <v>5.8040000000000001E-3</v>
      </c>
      <c r="J267" s="31" t="b">
        <v>0</v>
      </c>
      <c r="K267" s="32" t="b">
        <v>0</v>
      </c>
    </row>
    <row r="268" spans="2:11" ht="17" x14ac:dyDescent="0.2">
      <c r="B268" s="335" t="s">
        <v>1323</v>
      </c>
      <c r="C268" s="38" t="s">
        <v>551</v>
      </c>
      <c r="D268" s="166" t="s">
        <v>961</v>
      </c>
      <c r="E268" s="163">
        <v>9.0149999999999994E-2</v>
      </c>
      <c r="F268" s="163">
        <v>3.6540000000000003E-2</v>
      </c>
      <c r="G268" s="270">
        <v>1.362E-2</v>
      </c>
      <c r="H268" s="163">
        <v>6.5909999999999996E-2</v>
      </c>
      <c r="I268" s="163">
        <v>4.8349999999999999E-3</v>
      </c>
      <c r="J268" s="31" t="b">
        <v>0</v>
      </c>
      <c r="K268" s="32" t="b">
        <v>0</v>
      </c>
    </row>
    <row r="269" spans="2:11" ht="17" x14ac:dyDescent="0.2">
      <c r="B269" s="335" t="s">
        <v>1322</v>
      </c>
      <c r="C269" s="38" t="s">
        <v>551</v>
      </c>
      <c r="D269" s="166" t="s">
        <v>961</v>
      </c>
      <c r="E269" s="163">
        <v>8.9760000000000006E-2</v>
      </c>
      <c r="F269" s="163">
        <v>7.5429999999999997E-2</v>
      </c>
      <c r="G269" s="270">
        <v>0.23400000000000001</v>
      </c>
      <c r="H269" s="163">
        <v>6.0879999999999997E-3</v>
      </c>
      <c r="I269" s="163">
        <v>1.3489999999999999E-3</v>
      </c>
      <c r="J269" s="31" t="b">
        <v>0</v>
      </c>
      <c r="K269" s="32" t="b">
        <v>0</v>
      </c>
    </row>
    <row r="270" spans="2:11" ht="17" x14ac:dyDescent="0.2">
      <c r="B270" s="335" t="s">
        <v>1321</v>
      </c>
      <c r="C270" s="38" t="s">
        <v>551</v>
      </c>
      <c r="D270" s="166" t="s">
        <v>961</v>
      </c>
      <c r="E270" s="163">
        <v>8.9450000000000002E-2</v>
      </c>
      <c r="F270" s="163">
        <v>2.419E-2</v>
      </c>
      <c r="G270" s="151">
        <v>2.1770000000000001E-4</v>
      </c>
      <c r="H270" s="163">
        <v>6.2050000000000001E-2</v>
      </c>
      <c r="I270" s="163">
        <v>3.516E-3</v>
      </c>
      <c r="J270" s="31" t="b">
        <v>0</v>
      </c>
      <c r="K270" s="32" t="b">
        <v>0</v>
      </c>
    </row>
    <row r="271" spans="2:11" ht="17" x14ac:dyDescent="0.2">
      <c r="B271" s="335" t="s">
        <v>1320</v>
      </c>
      <c r="C271" s="38" t="s">
        <v>551</v>
      </c>
      <c r="D271" s="166" t="s">
        <v>961</v>
      </c>
      <c r="E271" s="163">
        <v>8.6679999999999993E-2</v>
      </c>
      <c r="F271" s="163">
        <v>0.1066</v>
      </c>
      <c r="G271" s="270">
        <v>0.41610000000000003</v>
      </c>
      <c r="H271" s="163">
        <v>2.529E-3</v>
      </c>
      <c r="I271" s="163">
        <v>1.2719999999999999E-3</v>
      </c>
      <c r="J271" s="31" t="b">
        <v>0</v>
      </c>
      <c r="K271" s="32" t="b">
        <v>0</v>
      </c>
    </row>
    <row r="272" spans="2:11" ht="17" x14ac:dyDescent="0.2">
      <c r="B272" s="335" t="s">
        <v>1319</v>
      </c>
      <c r="C272" s="38" t="s">
        <v>551</v>
      </c>
      <c r="D272" s="166" t="s">
        <v>961</v>
      </c>
      <c r="E272" s="163">
        <v>8.6610000000000006E-2</v>
      </c>
      <c r="F272" s="163">
        <v>6.4869999999999997E-2</v>
      </c>
      <c r="G272" s="270">
        <v>0.18179999999999999</v>
      </c>
      <c r="H272" s="163">
        <v>5.7549999999999997E-3</v>
      </c>
      <c r="I272" s="163">
        <v>1.65E-3</v>
      </c>
      <c r="J272" s="31" t="b">
        <v>0</v>
      </c>
      <c r="K272" s="32" t="b">
        <v>0</v>
      </c>
    </row>
    <row r="273" spans="2:11" ht="17" x14ac:dyDescent="0.2">
      <c r="B273" s="335" t="s">
        <v>1318</v>
      </c>
      <c r="C273" s="38" t="s">
        <v>551</v>
      </c>
      <c r="D273" s="166" t="s">
        <v>961</v>
      </c>
      <c r="E273" s="163">
        <v>8.6309999999999998E-2</v>
      </c>
      <c r="F273" s="163">
        <v>9.7919999999999993E-2</v>
      </c>
      <c r="G273" s="270">
        <v>0.37809999999999999</v>
      </c>
      <c r="H273" s="163">
        <v>3.4940000000000001E-3</v>
      </c>
      <c r="I273" s="163">
        <v>1.689E-3</v>
      </c>
      <c r="J273" s="31" t="b">
        <v>0</v>
      </c>
      <c r="K273" s="32" t="b">
        <v>0</v>
      </c>
    </row>
    <row r="274" spans="2:11" ht="17" x14ac:dyDescent="0.2">
      <c r="B274" s="335" t="s">
        <v>1316</v>
      </c>
      <c r="C274" s="38" t="s">
        <v>551</v>
      </c>
      <c r="D274" s="166" t="s">
        <v>961</v>
      </c>
      <c r="E274" s="163">
        <v>8.5750000000000007E-2</v>
      </c>
      <c r="F274" s="163">
        <v>3.5009999999999999E-2</v>
      </c>
      <c r="G274" s="270">
        <v>1.43E-2</v>
      </c>
      <c r="H274" s="163">
        <v>2.3640000000000001E-2</v>
      </c>
      <c r="I274" s="163">
        <v>1.872E-3</v>
      </c>
      <c r="J274" s="31" t="b">
        <v>0</v>
      </c>
      <c r="K274" s="32" t="b">
        <v>0</v>
      </c>
    </row>
    <row r="275" spans="2:11" ht="17" x14ac:dyDescent="0.2">
      <c r="B275" s="335" t="s">
        <v>1317</v>
      </c>
      <c r="C275" s="38" t="s">
        <v>551</v>
      </c>
      <c r="D275" s="166" t="s">
        <v>961</v>
      </c>
      <c r="E275" s="163">
        <v>8.5750000000000007E-2</v>
      </c>
      <c r="F275" s="163">
        <v>3.5009999999999999E-2</v>
      </c>
      <c r="G275" s="270">
        <v>1.43E-2</v>
      </c>
      <c r="H275" s="163">
        <v>2.3640000000000001E-2</v>
      </c>
      <c r="I275" s="163">
        <v>1.872E-3</v>
      </c>
      <c r="J275" s="31" t="b">
        <v>0</v>
      </c>
      <c r="K275" s="32" t="b">
        <v>0</v>
      </c>
    </row>
    <row r="276" spans="2:11" ht="17" x14ac:dyDescent="0.2">
      <c r="B276" s="335" t="s">
        <v>1315</v>
      </c>
      <c r="C276" s="38" t="s">
        <v>1238</v>
      </c>
      <c r="D276" s="166" t="s">
        <v>961</v>
      </c>
      <c r="E276" s="163">
        <v>8.5529999999999995E-2</v>
      </c>
      <c r="F276" s="163">
        <v>2.9420000000000002E-2</v>
      </c>
      <c r="G276" s="270">
        <v>3.65E-3</v>
      </c>
      <c r="H276" s="163">
        <v>0.7702</v>
      </c>
      <c r="I276" s="163">
        <v>3.6639999999999999E-2</v>
      </c>
      <c r="J276" s="31" t="b">
        <v>0</v>
      </c>
      <c r="K276" s="32" t="b">
        <v>0</v>
      </c>
    </row>
    <row r="277" spans="2:11" ht="17" x14ac:dyDescent="0.2">
      <c r="B277" s="335" t="s">
        <v>1314</v>
      </c>
      <c r="C277" s="38" t="s">
        <v>964</v>
      </c>
      <c r="D277" s="166" t="s">
        <v>965</v>
      </c>
      <c r="E277" s="163">
        <v>8.5489999999999997E-2</v>
      </c>
      <c r="F277" s="163">
        <v>0.20399999999999999</v>
      </c>
      <c r="G277" s="270">
        <v>0.67520000000000002</v>
      </c>
      <c r="H277" s="163">
        <v>3.3439999999999998E-2</v>
      </c>
      <c r="I277" s="163">
        <v>5.5759999999999997E-2</v>
      </c>
      <c r="J277" s="31" t="b">
        <v>0</v>
      </c>
      <c r="K277" s="32" t="b">
        <v>0</v>
      </c>
    </row>
    <row r="278" spans="2:11" ht="17" x14ac:dyDescent="0.2">
      <c r="B278" s="335" t="s">
        <v>1313</v>
      </c>
      <c r="C278" s="38" t="s">
        <v>551</v>
      </c>
      <c r="D278" s="166" t="s">
        <v>961</v>
      </c>
      <c r="E278" s="163">
        <v>8.4400000000000003E-2</v>
      </c>
      <c r="F278" s="163">
        <v>4.19E-2</v>
      </c>
      <c r="G278" s="270">
        <v>4.3970000000000002E-2</v>
      </c>
      <c r="H278" s="163">
        <v>1.8249999999999999E-2</v>
      </c>
      <c r="I278" s="163">
        <v>1.98E-3</v>
      </c>
      <c r="J278" s="31" t="b">
        <v>0</v>
      </c>
      <c r="K278" s="32" t="b">
        <v>0</v>
      </c>
    </row>
    <row r="279" spans="2:11" ht="17" x14ac:dyDescent="0.2">
      <c r="B279" s="335" t="s">
        <v>1312</v>
      </c>
      <c r="C279" s="38" t="s">
        <v>964</v>
      </c>
      <c r="D279" s="166" t="s">
        <v>965</v>
      </c>
      <c r="E279" s="163">
        <v>8.3820000000000006E-2</v>
      </c>
      <c r="F279" s="163">
        <v>0.1079</v>
      </c>
      <c r="G279" s="270">
        <v>0.43709999999999999</v>
      </c>
      <c r="H279" s="163">
        <v>0.1016</v>
      </c>
      <c r="I279" s="163">
        <v>5.5120000000000002E-2</v>
      </c>
      <c r="J279" s="31" t="b">
        <v>0</v>
      </c>
      <c r="K279" s="32" t="b">
        <v>0</v>
      </c>
    </row>
    <row r="280" spans="2:11" ht="17" x14ac:dyDescent="0.2">
      <c r="B280" s="335" t="s">
        <v>1311</v>
      </c>
      <c r="C280" s="38" t="s">
        <v>1037</v>
      </c>
      <c r="D280" s="166" t="s">
        <v>965</v>
      </c>
      <c r="E280" s="163">
        <v>8.3739999999999995E-2</v>
      </c>
      <c r="F280" s="163">
        <v>3.5270000000000003E-2</v>
      </c>
      <c r="G280" s="270">
        <v>1.7579999999999998E-2</v>
      </c>
      <c r="H280" s="163">
        <v>0.1706</v>
      </c>
      <c r="I280" s="163">
        <v>2.034E-2</v>
      </c>
      <c r="J280" s="31" t="b">
        <v>0</v>
      </c>
      <c r="K280" s="32" t="b">
        <v>0</v>
      </c>
    </row>
    <row r="281" spans="2:11" ht="17" x14ac:dyDescent="0.2">
      <c r="B281" s="335" t="s">
        <v>1310</v>
      </c>
      <c r="C281" s="38" t="s">
        <v>551</v>
      </c>
      <c r="D281" s="166" t="s">
        <v>961</v>
      </c>
      <c r="E281" s="163">
        <v>8.3239999999999995E-2</v>
      </c>
      <c r="F281" s="163">
        <v>5.9369999999999999E-2</v>
      </c>
      <c r="G281" s="270">
        <v>0.16089999999999999</v>
      </c>
      <c r="H281" s="163">
        <v>1.8419999999999999E-2</v>
      </c>
      <c r="I281" s="163">
        <v>3.003E-3</v>
      </c>
      <c r="J281" s="31" t="b">
        <v>0</v>
      </c>
      <c r="K281" s="32" t="b">
        <v>0</v>
      </c>
    </row>
    <row r="282" spans="2:11" ht="34" x14ac:dyDescent="0.2">
      <c r="B282" s="335" t="s">
        <v>1309</v>
      </c>
      <c r="C282" s="38" t="s">
        <v>551</v>
      </c>
      <c r="D282" s="166" t="s">
        <v>961</v>
      </c>
      <c r="E282" s="163">
        <v>8.1079999999999999E-2</v>
      </c>
      <c r="F282" s="163">
        <v>0.1205</v>
      </c>
      <c r="G282" s="270">
        <v>0.501</v>
      </c>
      <c r="H282" s="163">
        <v>5.6410000000000002E-2</v>
      </c>
      <c r="I282" s="163">
        <v>4.4290000000000003E-2</v>
      </c>
      <c r="J282" s="31" t="b">
        <v>0</v>
      </c>
      <c r="K282" s="32" t="b">
        <v>0</v>
      </c>
    </row>
    <row r="283" spans="2:11" ht="17" x14ac:dyDescent="0.2">
      <c r="B283" s="335" t="s">
        <v>1308</v>
      </c>
      <c r="C283" s="38" t="s">
        <v>551</v>
      </c>
      <c r="D283" s="166" t="s">
        <v>965</v>
      </c>
      <c r="E283" s="163">
        <v>8.0909999999999996E-2</v>
      </c>
      <c r="F283" s="163">
        <v>2.0619999999999999E-2</v>
      </c>
      <c r="G283" s="151">
        <v>8.7000000000000001E-5</v>
      </c>
      <c r="H283" s="163">
        <v>0.29120000000000001</v>
      </c>
      <c r="I283" s="163">
        <v>1.2030000000000001E-2</v>
      </c>
      <c r="J283" s="31" t="b">
        <v>0</v>
      </c>
      <c r="K283" s="32" t="b">
        <v>0</v>
      </c>
    </row>
    <row r="284" spans="2:11" ht="17" x14ac:dyDescent="0.2">
      <c r="B284" s="335" t="s">
        <v>1307</v>
      </c>
      <c r="C284" s="38" t="s">
        <v>551</v>
      </c>
      <c r="D284" s="166" t="s">
        <v>961</v>
      </c>
      <c r="E284" s="163">
        <v>8.0820000000000003E-2</v>
      </c>
      <c r="F284" s="163">
        <v>3.6630000000000003E-2</v>
      </c>
      <c r="G284" s="270">
        <v>2.7359999999999999E-2</v>
      </c>
      <c r="H284" s="163">
        <v>1.8360000000000001E-2</v>
      </c>
      <c r="I284" s="163">
        <v>2.4719999999999998E-3</v>
      </c>
      <c r="J284" s="31" t="b">
        <v>0</v>
      </c>
      <c r="K284" s="32" t="b">
        <v>0</v>
      </c>
    </row>
    <row r="285" spans="2:11" ht="17" x14ac:dyDescent="0.2">
      <c r="B285" s="335" t="s">
        <v>1306</v>
      </c>
      <c r="C285" s="38" t="s">
        <v>551</v>
      </c>
      <c r="D285" s="166" t="s">
        <v>965</v>
      </c>
      <c r="E285" s="163">
        <v>7.9960000000000003E-2</v>
      </c>
      <c r="F285" s="163">
        <v>2.061E-2</v>
      </c>
      <c r="G285" s="151">
        <v>1.0450000000000001E-4</v>
      </c>
      <c r="H285" s="163">
        <v>0.29189999999999999</v>
      </c>
      <c r="I285" s="163">
        <v>1.2120000000000001E-2</v>
      </c>
      <c r="J285" s="31" t="b">
        <v>0</v>
      </c>
      <c r="K285" s="32" t="b">
        <v>0</v>
      </c>
    </row>
    <row r="286" spans="2:11" ht="17" x14ac:dyDescent="0.2">
      <c r="B286" s="335" t="s">
        <v>1305</v>
      </c>
      <c r="C286" s="38" t="s">
        <v>551</v>
      </c>
      <c r="D286" s="166" t="s">
        <v>965</v>
      </c>
      <c r="E286" s="163">
        <v>7.9390000000000002E-2</v>
      </c>
      <c r="F286" s="163">
        <v>4.2419999999999999E-2</v>
      </c>
      <c r="G286" s="270">
        <v>6.1280000000000001E-2</v>
      </c>
      <c r="H286" s="163">
        <v>6.5210000000000004E-2</v>
      </c>
      <c r="I286" s="163">
        <v>7.064E-3</v>
      </c>
      <c r="J286" s="31" t="b">
        <v>0</v>
      </c>
      <c r="K286" s="32" t="b">
        <v>0</v>
      </c>
    </row>
    <row r="287" spans="2:11" ht="17" x14ac:dyDescent="0.2">
      <c r="B287" s="335" t="s">
        <v>1304</v>
      </c>
      <c r="C287" s="38" t="s">
        <v>551</v>
      </c>
      <c r="D287" s="166" t="s">
        <v>961</v>
      </c>
      <c r="E287" s="163">
        <v>7.9350000000000004E-2</v>
      </c>
      <c r="F287" s="163">
        <v>7.739E-2</v>
      </c>
      <c r="G287" s="270">
        <v>0.30520000000000003</v>
      </c>
      <c r="H287" s="163">
        <v>3.9329999999999999E-3</v>
      </c>
      <c r="I287" s="163">
        <v>1.526E-3</v>
      </c>
      <c r="J287" s="31" t="b">
        <v>0</v>
      </c>
      <c r="K287" s="32" t="b">
        <v>0</v>
      </c>
    </row>
    <row r="288" spans="2:11" ht="17" x14ac:dyDescent="0.2">
      <c r="B288" s="335" t="s">
        <v>1303</v>
      </c>
      <c r="C288" s="38" t="s">
        <v>551</v>
      </c>
      <c r="D288" s="166" t="s">
        <v>961</v>
      </c>
      <c r="E288" s="163">
        <v>7.9089999999999994E-2</v>
      </c>
      <c r="F288" s="163">
        <v>6.8709999999999993E-2</v>
      </c>
      <c r="G288" s="270">
        <v>0.24970000000000001</v>
      </c>
      <c r="H288" s="163">
        <v>5.5779999999999996E-3</v>
      </c>
      <c r="I288" s="163">
        <v>1.2459999999999999E-3</v>
      </c>
      <c r="J288" s="31" t="b">
        <v>0</v>
      </c>
      <c r="K288" s="32" t="b">
        <v>0</v>
      </c>
    </row>
    <row r="289" spans="2:11" ht="34" x14ac:dyDescent="0.2">
      <c r="B289" s="335" t="s">
        <v>1302</v>
      </c>
      <c r="C289" s="38" t="s">
        <v>551</v>
      </c>
      <c r="D289" s="166" t="s">
        <v>961</v>
      </c>
      <c r="E289" s="163">
        <v>7.8310000000000005E-2</v>
      </c>
      <c r="F289" s="163">
        <v>4.5990000000000003E-2</v>
      </c>
      <c r="G289" s="270">
        <v>8.8620000000000004E-2</v>
      </c>
      <c r="H289" s="163">
        <v>4.8410000000000002E-2</v>
      </c>
      <c r="I289" s="163">
        <v>4.7660000000000003E-3</v>
      </c>
      <c r="J289" s="31" t="b">
        <v>0</v>
      </c>
      <c r="K289" s="32" t="b">
        <v>0</v>
      </c>
    </row>
    <row r="290" spans="2:11" ht="17" x14ac:dyDescent="0.2">
      <c r="B290" s="335" t="s">
        <v>1301</v>
      </c>
      <c r="C290" s="38" t="s">
        <v>551</v>
      </c>
      <c r="D290" s="166" t="s">
        <v>965</v>
      </c>
      <c r="E290" s="163">
        <v>7.8130000000000005E-2</v>
      </c>
      <c r="F290" s="163">
        <v>2.47E-2</v>
      </c>
      <c r="G290" s="270">
        <v>1.557E-3</v>
      </c>
      <c r="H290" s="163">
        <v>0.29409999999999997</v>
      </c>
      <c r="I290" s="163">
        <v>1.499E-2</v>
      </c>
      <c r="J290" s="31" t="b">
        <v>0</v>
      </c>
      <c r="K290" s="32" t="b">
        <v>0</v>
      </c>
    </row>
    <row r="291" spans="2:11" ht="17" x14ac:dyDescent="0.2">
      <c r="B291" s="335" t="s">
        <v>1300</v>
      </c>
      <c r="C291" s="38" t="s">
        <v>1037</v>
      </c>
      <c r="D291" s="166" t="s">
        <v>965</v>
      </c>
      <c r="E291" s="163">
        <v>7.7740000000000004E-2</v>
      </c>
      <c r="F291" s="163">
        <v>3.6429999999999997E-2</v>
      </c>
      <c r="G291" s="270">
        <v>3.286E-2</v>
      </c>
      <c r="H291" s="163">
        <v>0.17169999999999999</v>
      </c>
      <c r="I291" s="163">
        <v>2.061E-2</v>
      </c>
      <c r="J291" s="31" t="b">
        <v>0</v>
      </c>
      <c r="K291" s="32" t="b">
        <v>0</v>
      </c>
    </row>
    <row r="292" spans="2:11" ht="17" x14ac:dyDescent="0.2">
      <c r="B292" s="335" t="s">
        <v>1299</v>
      </c>
      <c r="C292" s="38" t="s">
        <v>551</v>
      </c>
      <c r="D292" s="166" t="s">
        <v>965</v>
      </c>
      <c r="E292" s="163">
        <v>7.639E-2</v>
      </c>
      <c r="F292" s="163">
        <v>3.065E-2</v>
      </c>
      <c r="G292" s="270">
        <v>1.2699999999999999E-2</v>
      </c>
      <c r="H292" s="163">
        <v>3.952E-2</v>
      </c>
      <c r="I292" s="163">
        <v>2.1440000000000001E-3</v>
      </c>
      <c r="J292" s="31" t="b">
        <v>0</v>
      </c>
      <c r="K292" s="32" t="b">
        <v>0</v>
      </c>
    </row>
    <row r="293" spans="2:11" ht="17" x14ac:dyDescent="0.2">
      <c r="B293" s="335" t="s">
        <v>1298</v>
      </c>
      <c r="C293" s="38" t="s">
        <v>551</v>
      </c>
      <c r="D293" s="166" t="s">
        <v>961</v>
      </c>
      <c r="E293" s="163">
        <v>7.5050000000000006E-2</v>
      </c>
      <c r="F293" s="163">
        <v>4.4420000000000001E-2</v>
      </c>
      <c r="G293" s="270">
        <v>9.1149999999999995E-2</v>
      </c>
      <c r="H293" s="163">
        <v>2.3570000000000001E-2</v>
      </c>
      <c r="I293" s="163">
        <v>6.5719999999999997E-3</v>
      </c>
      <c r="J293" s="31" t="b">
        <v>0</v>
      </c>
      <c r="K293" s="32" t="b">
        <v>0</v>
      </c>
    </row>
    <row r="294" spans="2:11" ht="17" x14ac:dyDescent="0.2">
      <c r="B294" s="335" t="s">
        <v>1297</v>
      </c>
      <c r="C294" s="38" t="s">
        <v>551</v>
      </c>
      <c r="D294" s="166" t="s">
        <v>961</v>
      </c>
      <c r="E294" s="163">
        <v>7.5020000000000003E-2</v>
      </c>
      <c r="F294" s="163">
        <v>0.1033</v>
      </c>
      <c r="G294" s="270">
        <v>0.46789999999999998</v>
      </c>
      <c r="H294" s="163">
        <v>2.598E-3</v>
      </c>
      <c r="I294" s="163">
        <v>1.1249999999999999E-3</v>
      </c>
      <c r="J294" s="31" t="b">
        <v>0</v>
      </c>
      <c r="K294" s="32" t="b">
        <v>0</v>
      </c>
    </row>
    <row r="295" spans="2:11" ht="34" x14ac:dyDescent="0.2">
      <c r="B295" s="335" t="s">
        <v>1296</v>
      </c>
      <c r="C295" s="38" t="s">
        <v>551</v>
      </c>
      <c r="D295" s="166" t="s">
        <v>961</v>
      </c>
      <c r="E295" s="163">
        <v>7.417E-2</v>
      </c>
      <c r="F295" s="163">
        <v>4.0059999999999998E-2</v>
      </c>
      <c r="G295" s="270">
        <v>6.4100000000000004E-2</v>
      </c>
      <c r="H295" s="163">
        <v>5.561E-2</v>
      </c>
      <c r="I295" s="163">
        <v>5.3270000000000001E-3</v>
      </c>
      <c r="J295" s="31" t="b">
        <v>0</v>
      </c>
      <c r="K295" s="32" t="b">
        <v>0</v>
      </c>
    </row>
    <row r="296" spans="2:11" ht="17" x14ac:dyDescent="0.2">
      <c r="B296" s="335" t="s">
        <v>1295</v>
      </c>
      <c r="C296" s="38" t="s">
        <v>551</v>
      </c>
      <c r="D296" s="166" t="s">
        <v>961</v>
      </c>
      <c r="E296" s="163">
        <v>7.4139999999999998E-2</v>
      </c>
      <c r="F296" s="163">
        <v>6.4600000000000005E-2</v>
      </c>
      <c r="G296" s="270">
        <v>0.25109999999999999</v>
      </c>
      <c r="H296" s="163">
        <v>6.9760000000000004E-3</v>
      </c>
      <c r="I296" s="163">
        <v>1.506E-3</v>
      </c>
      <c r="J296" s="31" t="b">
        <v>0</v>
      </c>
      <c r="K296" s="32" t="b">
        <v>0</v>
      </c>
    </row>
    <row r="297" spans="2:11" ht="17" x14ac:dyDescent="0.2">
      <c r="B297" s="335" t="s">
        <v>1294</v>
      </c>
      <c r="C297" s="38" t="s">
        <v>551</v>
      </c>
      <c r="D297" s="166" t="s">
        <v>961</v>
      </c>
      <c r="E297" s="163">
        <v>7.3529999999999998E-2</v>
      </c>
      <c r="F297" s="163">
        <v>3.9359999999999999E-2</v>
      </c>
      <c r="G297" s="270">
        <v>6.1719999999999997E-2</v>
      </c>
      <c r="H297" s="163">
        <v>2.1729999999999999E-2</v>
      </c>
      <c r="I297" s="163">
        <v>2.2520000000000001E-3</v>
      </c>
      <c r="J297" s="31" t="b">
        <v>0</v>
      </c>
      <c r="K297" s="32" t="b">
        <v>0</v>
      </c>
    </row>
    <row r="298" spans="2:11" ht="17" x14ac:dyDescent="0.2">
      <c r="B298" s="335" t="s">
        <v>1293</v>
      </c>
      <c r="C298" s="38" t="s">
        <v>551</v>
      </c>
      <c r="D298" s="166" t="s">
        <v>965</v>
      </c>
      <c r="E298" s="163">
        <v>7.3499999999999996E-2</v>
      </c>
      <c r="F298" s="163">
        <v>2.452E-2</v>
      </c>
      <c r="G298" s="270">
        <v>2.7200000000000002E-3</v>
      </c>
      <c r="H298" s="163">
        <v>0.29239999999999999</v>
      </c>
      <c r="I298" s="163">
        <v>1.5640000000000001E-2</v>
      </c>
      <c r="J298" s="31" t="b">
        <v>0</v>
      </c>
      <c r="K298" s="32" t="b">
        <v>0</v>
      </c>
    </row>
    <row r="299" spans="2:11" ht="17" x14ac:dyDescent="0.2">
      <c r="B299" s="335" t="s">
        <v>1292</v>
      </c>
      <c r="C299" s="38" t="s">
        <v>551</v>
      </c>
      <c r="D299" s="166" t="s">
        <v>961</v>
      </c>
      <c r="E299" s="163">
        <v>7.3260000000000006E-2</v>
      </c>
      <c r="F299" s="163">
        <v>3.9910000000000001E-2</v>
      </c>
      <c r="G299" s="270">
        <v>6.6420000000000007E-2</v>
      </c>
      <c r="H299" s="163">
        <v>5.6329999999999998E-2</v>
      </c>
      <c r="I299" s="163">
        <v>5.4549999999999998E-3</v>
      </c>
      <c r="J299" s="31" t="b">
        <v>0</v>
      </c>
      <c r="K299" s="32" t="b">
        <v>0</v>
      </c>
    </row>
    <row r="300" spans="2:11" ht="17" x14ac:dyDescent="0.2">
      <c r="B300" s="335" t="s">
        <v>1291</v>
      </c>
      <c r="C300" s="38" t="s">
        <v>551</v>
      </c>
      <c r="D300" s="166" t="s">
        <v>961</v>
      </c>
      <c r="E300" s="163">
        <v>7.2359999999999994E-2</v>
      </c>
      <c r="F300" s="163">
        <v>9.1469999999999996E-2</v>
      </c>
      <c r="G300" s="270">
        <v>0.4289</v>
      </c>
      <c r="H300" s="163">
        <v>3.2190000000000001E-3</v>
      </c>
      <c r="I300" s="163">
        <v>1.2509999999999999E-3</v>
      </c>
      <c r="J300" s="31" t="b">
        <v>0</v>
      </c>
      <c r="K300" s="32" t="b">
        <v>0</v>
      </c>
    </row>
    <row r="301" spans="2:11" ht="17" x14ac:dyDescent="0.2">
      <c r="B301" s="335" t="s">
        <v>1290</v>
      </c>
      <c r="C301" s="38" t="s">
        <v>551</v>
      </c>
      <c r="D301" s="166" t="s">
        <v>961</v>
      </c>
      <c r="E301" s="163">
        <v>7.2230000000000003E-2</v>
      </c>
      <c r="F301" s="163">
        <v>3.6850000000000001E-2</v>
      </c>
      <c r="G301" s="270">
        <v>5.0009999999999999E-2</v>
      </c>
      <c r="H301" s="163">
        <v>2.2579999999999999E-2</v>
      </c>
      <c r="I301" s="163">
        <v>1.807E-3</v>
      </c>
      <c r="J301" s="31" t="b">
        <v>0</v>
      </c>
      <c r="K301" s="32" t="b">
        <v>0</v>
      </c>
    </row>
    <row r="302" spans="2:11" ht="17" x14ac:dyDescent="0.2">
      <c r="B302" s="335" t="s">
        <v>1289</v>
      </c>
      <c r="C302" s="38" t="s">
        <v>551</v>
      </c>
      <c r="D302" s="166" t="s">
        <v>965</v>
      </c>
      <c r="E302" s="163">
        <v>7.1739999999999998E-2</v>
      </c>
      <c r="F302" s="163">
        <v>4.6960000000000002E-2</v>
      </c>
      <c r="G302" s="270">
        <v>0.12659999999999999</v>
      </c>
      <c r="H302" s="163">
        <v>7.3380000000000001E-2</v>
      </c>
      <c r="I302" s="163">
        <v>1.2630000000000001E-2</v>
      </c>
      <c r="J302" s="31" t="b">
        <v>0</v>
      </c>
      <c r="K302" s="32" t="b">
        <v>0</v>
      </c>
    </row>
    <row r="303" spans="2:11" ht="17" x14ac:dyDescent="0.2">
      <c r="B303" s="335" t="s">
        <v>1288</v>
      </c>
      <c r="C303" s="38" t="s">
        <v>551</v>
      </c>
      <c r="D303" s="166" t="s">
        <v>965</v>
      </c>
      <c r="E303" s="163">
        <v>7.1050000000000002E-2</v>
      </c>
      <c r="F303" s="163">
        <v>2.4070000000000001E-2</v>
      </c>
      <c r="G303" s="270">
        <v>3.1589999999999999E-3</v>
      </c>
      <c r="H303" s="163">
        <v>0.29630000000000001</v>
      </c>
      <c r="I303" s="163">
        <v>1.583E-2</v>
      </c>
      <c r="J303" s="31" t="b">
        <v>0</v>
      </c>
      <c r="K303" s="32" t="b">
        <v>0</v>
      </c>
    </row>
    <row r="304" spans="2:11" ht="17" x14ac:dyDescent="0.2">
      <c r="B304" s="335" t="s">
        <v>1287</v>
      </c>
      <c r="C304" s="38" t="s">
        <v>1012</v>
      </c>
      <c r="D304" s="166" t="s">
        <v>965</v>
      </c>
      <c r="E304" s="163">
        <v>7.0980000000000001E-2</v>
      </c>
      <c r="F304" s="163">
        <v>4.9639999999999997E-2</v>
      </c>
      <c r="G304" s="270">
        <v>0.15279999999999999</v>
      </c>
      <c r="H304" s="163">
        <v>0.29620000000000002</v>
      </c>
      <c r="I304" s="163">
        <v>4.5679999999999998E-2</v>
      </c>
      <c r="J304" s="31" t="b">
        <v>0</v>
      </c>
      <c r="K304" s="32" t="b">
        <v>0</v>
      </c>
    </row>
    <row r="305" spans="2:11" ht="17" x14ac:dyDescent="0.2">
      <c r="B305" s="335" t="s">
        <v>1286</v>
      </c>
      <c r="C305" s="38" t="s">
        <v>551</v>
      </c>
      <c r="D305" s="166" t="s">
        <v>965</v>
      </c>
      <c r="E305" s="163">
        <v>7.0849999999999996E-2</v>
      </c>
      <c r="F305" s="163">
        <v>2.5010000000000001E-2</v>
      </c>
      <c r="G305" s="270">
        <v>4.6189999999999998E-3</v>
      </c>
      <c r="H305" s="163">
        <v>0.13500000000000001</v>
      </c>
      <c r="I305" s="163">
        <v>9.7879999999999998E-3</v>
      </c>
      <c r="J305" s="31" t="b">
        <v>0</v>
      </c>
      <c r="K305" s="32" t="b">
        <v>0</v>
      </c>
    </row>
    <row r="306" spans="2:11" ht="17" x14ac:dyDescent="0.2">
      <c r="B306" s="335" t="s">
        <v>1285</v>
      </c>
      <c r="C306" s="38" t="s">
        <v>551</v>
      </c>
      <c r="D306" s="166" t="s">
        <v>961</v>
      </c>
      <c r="E306" s="163">
        <v>6.9059999999999996E-2</v>
      </c>
      <c r="F306" s="163">
        <v>5.0909999999999997E-2</v>
      </c>
      <c r="G306" s="270">
        <v>0.17499999999999999</v>
      </c>
      <c r="H306" s="163">
        <v>1.166E-2</v>
      </c>
      <c r="I306" s="163">
        <v>1.5399999999999999E-3</v>
      </c>
      <c r="J306" s="31" t="b">
        <v>0</v>
      </c>
      <c r="K306" s="32" t="b">
        <v>0</v>
      </c>
    </row>
    <row r="307" spans="2:11" ht="17" x14ac:dyDescent="0.2">
      <c r="B307" s="335" t="s">
        <v>1284</v>
      </c>
      <c r="C307" s="38" t="s">
        <v>551</v>
      </c>
      <c r="D307" s="166" t="s">
        <v>965</v>
      </c>
      <c r="E307" s="163">
        <v>6.88E-2</v>
      </c>
      <c r="F307" s="163">
        <v>2.7650000000000001E-2</v>
      </c>
      <c r="G307" s="270">
        <v>1.2840000000000001E-2</v>
      </c>
      <c r="H307" s="163">
        <v>0.16389999999999999</v>
      </c>
      <c r="I307" s="163">
        <v>1.4800000000000001E-2</v>
      </c>
      <c r="J307" s="31" t="b">
        <v>0</v>
      </c>
      <c r="K307" s="32" t="b">
        <v>0</v>
      </c>
    </row>
    <row r="308" spans="2:11" ht="17" x14ac:dyDescent="0.2">
      <c r="B308" s="335" t="s">
        <v>1283</v>
      </c>
      <c r="C308" s="38" t="s">
        <v>551</v>
      </c>
      <c r="D308" s="166" t="s">
        <v>965</v>
      </c>
      <c r="E308" s="163">
        <v>6.7199999999999996E-2</v>
      </c>
      <c r="F308" s="163">
        <v>4.002E-2</v>
      </c>
      <c r="G308" s="270">
        <v>9.3140000000000001E-2</v>
      </c>
      <c r="H308" s="163">
        <v>2.9729999999999999E-2</v>
      </c>
      <c r="I308" s="163">
        <v>3.967E-3</v>
      </c>
      <c r="J308" s="31" t="b">
        <v>0</v>
      </c>
      <c r="K308" s="32" t="b">
        <v>0</v>
      </c>
    </row>
    <row r="309" spans="2:11" ht="17" x14ac:dyDescent="0.2">
      <c r="B309" s="335" t="s">
        <v>1282</v>
      </c>
      <c r="C309" s="38" t="s">
        <v>551</v>
      </c>
      <c r="D309" s="166" t="s">
        <v>961</v>
      </c>
      <c r="E309" s="163">
        <v>6.6449999999999995E-2</v>
      </c>
      <c r="F309" s="163">
        <v>0.1075</v>
      </c>
      <c r="G309" s="270">
        <v>0.53649999999999998</v>
      </c>
      <c r="H309" s="163">
        <v>2.5850000000000001E-3</v>
      </c>
      <c r="I309" s="163">
        <v>1.261E-3</v>
      </c>
      <c r="J309" s="31" t="b">
        <v>0</v>
      </c>
      <c r="K309" s="32" t="b">
        <v>0</v>
      </c>
    </row>
    <row r="310" spans="2:11" ht="17" x14ac:dyDescent="0.2">
      <c r="B310" s="335" t="s">
        <v>1281</v>
      </c>
      <c r="C310" s="38" t="s">
        <v>551</v>
      </c>
      <c r="D310" s="166" t="s">
        <v>961</v>
      </c>
      <c r="E310" s="163">
        <v>6.6009999999999999E-2</v>
      </c>
      <c r="F310" s="163">
        <v>6.3869999999999996E-2</v>
      </c>
      <c r="G310" s="270">
        <v>0.3014</v>
      </c>
      <c r="H310" s="163">
        <v>6.953E-3</v>
      </c>
      <c r="I310" s="163">
        <v>1.495E-3</v>
      </c>
      <c r="J310" s="31" t="b">
        <v>0</v>
      </c>
      <c r="K310" s="32" t="b">
        <v>0</v>
      </c>
    </row>
    <row r="311" spans="2:11" ht="17" x14ac:dyDescent="0.2">
      <c r="B311" s="335" t="s">
        <v>1280</v>
      </c>
      <c r="C311" s="38" t="s">
        <v>551</v>
      </c>
      <c r="D311" s="166" t="s">
        <v>965</v>
      </c>
      <c r="E311" s="163">
        <v>6.5979999999999997E-2</v>
      </c>
      <c r="F311" s="163">
        <v>4.718E-2</v>
      </c>
      <c r="G311" s="270">
        <v>0.16189999999999999</v>
      </c>
      <c r="H311" s="163">
        <v>0.1227</v>
      </c>
      <c r="I311" s="163">
        <v>1.259E-2</v>
      </c>
      <c r="J311" s="31" t="b">
        <v>0</v>
      </c>
      <c r="K311" s="32" t="b">
        <v>0</v>
      </c>
    </row>
    <row r="312" spans="2:11" ht="17" x14ac:dyDescent="0.2">
      <c r="B312" s="335" t="s">
        <v>1279</v>
      </c>
      <c r="C312" s="38" t="s">
        <v>551</v>
      </c>
      <c r="D312" s="166" t="s">
        <v>965</v>
      </c>
      <c r="E312" s="163">
        <v>6.5030000000000004E-2</v>
      </c>
      <c r="F312" s="163">
        <v>2.4289999999999999E-2</v>
      </c>
      <c r="G312" s="270">
        <v>7.4260000000000003E-3</v>
      </c>
      <c r="H312" s="163">
        <v>0.2717</v>
      </c>
      <c r="I312" s="163">
        <v>1.5310000000000001E-2</v>
      </c>
      <c r="J312" s="31" t="b">
        <v>0</v>
      </c>
      <c r="K312" s="32" t="b">
        <v>0</v>
      </c>
    </row>
    <row r="313" spans="2:11" ht="17" x14ac:dyDescent="0.2">
      <c r="B313" s="335" t="s">
        <v>1278</v>
      </c>
      <c r="C313" s="38" t="s">
        <v>551</v>
      </c>
      <c r="D313" s="166" t="s">
        <v>961</v>
      </c>
      <c r="E313" s="163">
        <v>6.4740000000000006E-2</v>
      </c>
      <c r="F313" s="163">
        <v>4.5749999999999999E-2</v>
      </c>
      <c r="G313" s="270">
        <v>0.157</v>
      </c>
      <c r="H313" s="163">
        <v>1.669E-2</v>
      </c>
      <c r="I313" s="163">
        <v>2.1909999999999998E-3</v>
      </c>
      <c r="J313" s="31" t="b">
        <v>0</v>
      </c>
      <c r="K313" s="32" t="b">
        <v>0</v>
      </c>
    </row>
    <row r="314" spans="2:11" ht="17" x14ac:dyDescent="0.2">
      <c r="B314" s="335" t="s">
        <v>1277</v>
      </c>
      <c r="C314" s="38" t="s">
        <v>551</v>
      </c>
      <c r="D314" s="166" t="s">
        <v>961</v>
      </c>
      <c r="E314" s="163">
        <v>6.4449999999999993E-2</v>
      </c>
      <c r="F314" s="163">
        <v>6.7030000000000006E-2</v>
      </c>
      <c r="G314" s="270">
        <v>0.33629999999999999</v>
      </c>
      <c r="H314" s="163">
        <v>5.9030000000000003E-3</v>
      </c>
      <c r="I314" s="163">
        <v>1.4109999999999999E-3</v>
      </c>
      <c r="J314" s="31" t="b">
        <v>0</v>
      </c>
      <c r="K314" s="32" t="b">
        <v>0</v>
      </c>
    </row>
    <row r="315" spans="2:11" ht="17" x14ac:dyDescent="0.2">
      <c r="B315" s="335" t="s">
        <v>1276</v>
      </c>
      <c r="C315" s="38" t="s">
        <v>964</v>
      </c>
      <c r="D315" s="166" t="s">
        <v>965</v>
      </c>
      <c r="E315" s="163">
        <v>6.2880000000000005E-2</v>
      </c>
      <c r="F315" s="163">
        <v>0.1615</v>
      </c>
      <c r="G315" s="270">
        <v>0.69699999999999995</v>
      </c>
      <c r="H315" s="163">
        <v>4.4990000000000002E-2</v>
      </c>
      <c r="I315" s="163">
        <v>4.9599999999999998E-2</v>
      </c>
      <c r="J315" s="31" t="b">
        <v>0</v>
      </c>
      <c r="K315" s="32" t="b">
        <v>0</v>
      </c>
    </row>
    <row r="316" spans="2:11" ht="17" x14ac:dyDescent="0.2">
      <c r="B316" s="335" t="s">
        <v>1275</v>
      </c>
      <c r="C316" s="38" t="s">
        <v>551</v>
      </c>
      <c r="D316" s="166" t="s">
        <v>961</v>
      </c>
      <c r="E316" s="163">
        <v>6.2440000000000002E-2</v>
      </c>
      <c r="F316" s="163">
        <v>5.5449999999999999E-2</v>
      </c>
      <c r="G316" s="270">
        <v>0.2601</v>
      </c>
      <c r="H316" s="163">
        <v>6.5530000000000005E-2</v>
      </c>
      <c r="I316" s="163">
        <v>9.1020000000000007E-3</v>
      </c>
      <c r="J316" s="31" t="b">
        <v>0</v>
      </c>
      <c r="K316" s="32" t="b">
        <v>0</v>
      </c>
    </row>
    <row r="317" spans="2:11" ht="17" x14ac:dyDescent="0.2">
      <c r="B317" s="335" t="s">
        <v>1274</v>
      </c>
      <c r="C317" s="38" t="s">
        <v>551</v>
      </c>
      <c r="D317" s="166" t="s">
        <v>965</v>
      </c>
      <c r="E317" s="163">
        <v>6.2399999999999997E-2</v>
      </c>
      <c r="F317" s="163">
        <v>2.368E-2</v>
      </c>
      <c r="G317" s="270">
        <v>8.4159999999999999E-3</v>
      </c>
      <c r="H317" s="163">
        <v>0.27100000000000002</v>
      </c>
      <c r="I317" s="163">
        <v>1.523E-2</v>
      </c>
      <c r="J317" s="31" t="b">
        <v>0</v>
      </c>
      <c r="K317" s="32" t="b">
        <v>0</v>
      </c>
    </row>
    <row r="318" spans="2:11" ht="17" x14ac:dyDescent="0.2">
      <c r="B318" s="335" t="s">
        <v>1273</v>
      </c>
      <c r="C318" s="38" t="s">
        <v>551</v>
      </c>
      <c r="D318" s="166" t="s">
        <v>961</v>
      </c>
      <c r="E318" s="163">
        <v>6.2149999999999997E-2</v>
      </c>
      <c r="F318" s="163">
        <v>4.564E-2</v>
      </c>
      <c r="G318" s="270">
        <v>0.17330000000000001</v>
      </c>
      <c r="H318" s="163">
        <v>2.206E-2</v>
      </c>
      <c r="I318" s="163">
        <v>2.1930000000000001E-3</v>
      </c>
      <c r="J318" s="31" t="b">
        <v>0</v>
      </c>
      <c r="K318" s="32" t="b">
        <v>0</v>
      </c>
    </row>
    <row r="319" spans="2:11" ht="17" x14ac:dyDescent="0.2">
      <c r="B319" s="335" t="s">
        <v>1272</v>
      </c>
      <c r="C319" s="38" t="s">
        <v>551</v>
      </c>
      <c r="D319" s="166" t="s">
        <v>961</v>
      </c>
      <c r="E319" s="163">
        <v>6.1789999999999998E-2</v>
      </c>
      <c r="F319" s="163">
        <v>5.704E-2</v>
      </c>
      <c r="G319" s="270">
        <v>0.27860000000000001</v>
      </c>
      <c r="H319" s="163">
        <v>8.3049999999999999E-3</v>
      </c>
      <c r="I319" s="163">
        <v>1.4989999999999999E-3</v>
      </c>
      <c r="J319" s="31" t="b">
        <v>0</v>
      </c>
      <c r="K319" s="32" t="b">
        <v>0</v>
      </c>
    </row>
    <row r="320" spans="2:11" ht="17" x14ac:dyDescent="0.2">
      <c r="B320" s="335" t="s">
        <v>1271</v>
      </c>
      <c r="C320" s="38" t="s">
        <v>551</v>
      </c>
      <c r="D320" s="166" t="s">
        <v>965</v>
      </c>
      <c r="E320" s="163">
        <v>6.1699999999999998E-2</v>
      </c>
      <c r="F320" s="163">
        <v>2.4049999999999998E-2</v>
      </c>
      <c r="G320" s="270">
        <v>1.03E-2</v>
      </c>
      <c r="H320" s="163">
        <v>0.1268</v>
      </c>
      <c r="I320" s="163">
        <v>1.1809999999999999E-2</v>
      </c>
      <c r="J320" s="31" t="b">
        <v>0</v>
      </c>
      <c r="K320" s="32" t="b">
        <v>0</v>
      </c>
    </row>
    <row r="321" spans="2:11" ht="17" x14ac:dyDescent="0.2">
      <c r="B321" s="335" t="s">
        <v>1270</v>
      </c>
      <c r="C321" s="38" t="s">
        <v>551</v>
      </c>
      <c r="D321" s="166" t="s">
        <v>961</v>
      </c>
      <c r="E321" s="163">
        <v>6.1550000000000001E-2</v>
      </c>
      <c r="F321" s="163">
        <v>3.798E-2</v>
      </c>
      <c r="G321" s="270">
        <v>0.1051</v>
      </c>
      <c r="H321" s="163">
        <v>6.3329999999999997E-2</v>
      </c>
      <c r="I321" s="163">
        <v>5.339E-3</v>
      </c>
      <c r="J321" s="31" t="b">
        <v>0</v>
      </c>
      <c r="K321" s="32" t="b">
        <v>0</v>
      </c>
    </row>
    <row r="322" spans="2:11" ht="17" x14ac:dyDescent="0.2">
      <c r="B322" s="335" t="s">
        <v>1269</v>
      </c>
      <c r="C322" s="38" t="s">
        <v>551</v>
      </c>
      <c r="D322" s="166" t="s">
        <v>965</v>
      </c>
      <c r="E322" s="163">
        <v>6.1499999999999999E-2</v>
      </c>
      <c r="F322" s="163">
        <v>3.3009999999999998E-2</v>
      </c>
      <c r="G322" s="270">
        <v>6.2440000000000002E-2</v>
      </c>
      <c r="H322" s="163">
        <v>4.1070000000000002E-2</v>
      </c>
      <c r="I322" s="163">
        <v>4.836E-3</v>
      </c>
      <c r="J322" s="31" t="b">
        <v>0</v>
      </c>
      <c r="K322" s="32" t="b">
        <v>0</v>
      </c>
    </row>
    <row r="323" spans="2:11" ht="17" x14ac:dyDescent="0.2">
      <c r="B323" s="335" t="s">
        <v>1268</v>
      </c>
      <c r="C323" s="38" t="s">
        <v>551</v>
      </c>
      <c r="D323" s="166" t="s">
        <v>965</v>
      </c>
      <c r="E323" s="163">
        <v>6.0679999999999998E-2</v>
      </c>
      <c r="F323" s="163">
        <v>3.0259999999999999E-2</v>
      </c>
      <c r="G323" s="270">
        <v>4.4929999999999998E-2</v>
      </c>
      <c r="H323" s="163">
        <v>0.1268</v>
      </c>
      <c r="I323" s="163">
        <v>9.9290000000000003E-3</v>
      </c>
      <c r="J323" s="31" t="b">
        <v>0</v>
      </c>
      <c r="K323" s="32" t="b">
        <v>0</v>
      </c>
    </row>
    <row r="324" spans="2:11" ht="34" x14ac:dyDescent="0.2">
      <c r="B324" s="335" t="s">
        <v>1267</v>
      </c>
      <c r="C324" s="38" t="s">
        <v>551</v>
      </c>
      <c r="D324" s="166" t="s">
        <v>961</v>
      </c>
      <c r="E324" s="163">
        <v>6.0449999999999997E-2</v>
      </c>
      <c r="F324" s="163">
        <v>0.1018</v>
      </c>
      <c r="G324" s="270">
        <v>0.55279999999999996</v>
      </c>
      <c r="H324" s="163">
        <v>2.166E-3</v>
      </c>
      <c r="I324" s="163">
        <v>1.224E-3</v>
      </c>
      <c r="J324" s="31" t="b">
        <v>0</v>
      </c>
      <c r="K324" s="32" t="b">
        <v>0</v>
      </c>
    </row>
    <row r="325" spans="2:11" ht="17" x14ac:dyDescent="0.2">
      <c r="B325" s="335" t="s">
        <v>1266</v>
      </c>
      <c r="C325" s="38" t="s">
        <v>551</v>
      </c>
      <c r="D325" s="166" t="s">
        <v>961</v>
      </c>
      <c r="E325" s="163">
        <v>6.0150000000000002E-2</v>
      </c>
      <c r="F325" s="163">
        <v>4.0960000000000003E-2</v>
      </c>
      <c r="G325" s="270">
        <v>0.14199999999999999</v>
      </c>
      <c r="H325" s="163">
        <v>5.5719999999999999E-2</v>
      </c>
      <c r="I325" s="163">
        <v>5.1489999999999999E-3</v>
      </c>
      <c r="J325" s="31" t="b">
        <v>0</v>
      </c>
      <c r="K325" s="32" t="b">
        <v>0</v>
      </c>
    </row>
    <row r="326" spans="2:11" ht="17" x14ac:dyDescent="0.2">
      <c r="B326" s="335" t="s">
        <v>1265</v>
      </c>
      <c r="C326" s="38" t="s">
        <v>551</v>
      </c>
      <c r="D326" s="166" t="s">
        <v>961</v>
      </c>
      <c r="E326" s="163">
        <v>5.9619999999999999E-2</v>
      </c>
      <c r="F326" s="163">
        <v>9.4839999999999994E-2</v>
      </c>
      <c r="G326" s="270">
        <v>0.52959999999999996</v>
      </c>
      <c r="H326" s="163">
        <v>2.6519999999999998E-3</v>
      </c>
      <c r="I326" s="163">
        <v>1.3799999999999999E-3</v>
      </c>
      <c r="J326" s="31" t="b">
        <v>0</v>
      </c>
      <c r="K326" s="32" t="b">
        <v>0</v>
      </c>
    </row>
    <row r="327" spans="2:11" ht="17" x14ac:dyDescent="0.2">
      <c r="B327" s="335" t="s">
        <v>1264</v>
      </c>
      <c r="C327" s="38" t="s">
        <v>551</v>
      </c>
      <c r="D327" s="166" t="s">
        <v>961</v>
      </c>
      <c r="E327" s="163">
        <v>5.9319999999999998E-2</v>
      </c>
      <c r="F327" s="163">
        <v>9.4649999999999998E-2</v>
      </c>
      <c r="G327" s="270">
        <v>0.53080000000000005</v>
      </c>
      <c r="H327" s="163">
        <v>2.5660000000000001E-3</v>
      </c>
      <c r="I327" s="163">
        <v>1.237E-3</v>
      </c>
      <c r="J327" s="31" t="b">
        <v>0</v>
      </c>
      <c r="K327" s="32" t="b">
        <v>0</v>
      </c>
    </row>
    <row r="328" spans="2:11" ht="17" x14ac:dyDescent="0.2">
      <c r="B328" s="335" t="s">
        <v>1263</v>
      </c>
      <c r="C328" s="38" t="s">
        <v>551</v>
      </c>
      <c r="D328" s="166" t="s">
        <v>961</v>
      </c>
      <c r="E328" s="163">
        <v>5.8450000000000002E-2</v>
      </c>
      <c r="F328" s="163">
        <v>4.7109999999999999E-2</v>
      </c>
      <c r="G328" s="270">
        <v>0.2147</v>
      </c>
      <c r="H328" s="163">
        <v>1.417E-2</v>
      </c>
      <c r="I328" s="163">
        <v>3.47E-3</v>
      </c>
      <c r="J328" s="31" t="b">
        <v>0</v>
      </c>
      <c r="K328" s="32" t="b">
        <v>0</v>
      </c>
    </row>
    <row r="329" spans="2:11" ht="17" x14ac:dyDescent="0.2">
      <c r="B329" s="335" t="s">
        <v>1262</v>
      </c>
      <c r="C329" s="38" t="s">
        <v>551</v>
      </c>
      <c r="D329" s="166" t="s">
        <v>965</v>
      </c>
      <c r="E329" s="163">
        <v>5.8299999999999998E-2</v>
      </c>
      <c r="F329" s="163">
        <v>3.0939999999999999E-2</v>
      </c>
      <c r="G329" s="270">
        <v>5.951E-2</v>
      </c>
      <c r="H329" s="163">
        <v>0.13650000000000001</v>
      </c>
      <c r="I329" s="163">
        <v>1.059E-2</v>
      </c>
      <c r="J329" s="31" t="b">
        <v>0</v>
      </c>
      <c r="K329" s="32" t="b">
        <v>0</v>
      </c>
    </row>
    <row r="330" spans="2:11" ht="17" x14ac:dyDescent="0.2">
      <c r="B330" s="335" t="s">
        <v>1261</v>
      </c>
      <c r="C330" s="38" t="s">
        <v>551</v>
      </c>
      <c r="D330" s="166" t="s">
        <v>961</v>
      </c>
      <c r="E330" s="163">
        <v>5.7140000000000003E-2</v>
      </c>
      <c r="F330" s="163">
        <v>3.9719999999999998E-2</v>
      </c>
      <c r="G330" s="270">
        <v>0.15029999999999999</v>
      </c>
      <c r="H330" s="163">
        <v>6.0179999999999997E-2</v>
      </c>
      <c r="I330" s="163">
        <v>4.9410000000000001E-3</v>
      </c>
      <c r="J330" s="31" t="b">
        <v>0</v>
      </c>
      <c r="K330" s="32" t="b">
        <v>0</v>
      </c>
    </row>
    <row r="331" spans="2:11" ht="17" x14ac:dyDescent="0.2">
      <c r="B331" s="335" t="s">
        <v>1260</v>
      </c>
      <c r="C331" s="38" t="s">
        <v>1187</v>
      </c>
      <c r="D331" s="166" t="s">
        <v>961</v>
      </c>
      <c r="E331" s="163">
        <v>5.6849999999999998E-2</v>
      </c>
      <c r="F331" s="163">
        <v>3.288E-2</v>
      </c>
      <c r="G331" s="270">
        <v>8.3809999999999996E-2</v>
      </c>
      <c r="H331" s="163">
        <v>2.401E-2</v>
      </c>
      <c r="I331" s="163">
        <v>2.0209999999999998E-3</v>
      </c>
      <c r="J331" s="31" t="b">
        <v>0</v>
      </c>
      <c r="K331" s="32" t="b">
        <v>0</v>
      </c>
    </row>
    <row r="332" spans="2:11" ht="17" x14ac:dyDescent="0.2">
      <c r="B332" s="335" t="s">
        <v>1259</v>
      </c>
      <c r="C332" s="38" t="s">
        <v>551</v>
      </c>
      <c r="D332" s="166" t="s">
        <v>961</v>
      </c>
      <c r="E332" s="163">
        <v>5.6509999999999998E-2</v>
      </c>
      <c r="F332" s="163">
        <v>9.0399999999999994E-2</v>
      </c>
      <c r="G332" s="270">
        <v>0.53190000000000004</v>
      </c>
      <c r="H332" s="163">
        <v>2.7929999999999999E-3</v>
      </c>
      <c r="I332" s="163">
        <v>1.4630000000000001E-3</v>
      </c>
      <c r="J332" s="31" t="b">
        <v>0</v>
      </c>
      <c r="K332" s="32" t="b">
        <v>0</v>
      </c>
    </row>
    <row r="333" spans="2:11" ht="17" x14ac:dyDescent="0.2">
      <c r="B333" s="335" t="s">
        <v>1258</v>
      </c>
      <c r="C333" s="38" t="s">
        <v>551</v>
      </c>
      <c r="D333" s="166" t="s">
        <v>965</v>
      </c>
      <c r="E333" s="163">
        <v>5.6399999999999999E-2</v>
      </c>
      <c r="F333" s="163">
        <v>2.0539999999999999E-2</v>
      </c>
      <c r="G333" s="270">
        <v>6.0299999999999998E-3</v>
      </c>
      <c r="H333" s="163">
        <v>0.2923</v>
      </c>
      <c r="I333" s="163">
        <v>1.2749999999999999E-2</v>
      </c>
      <c r="J333" s="31" t="b">
        <v>0</v>
      </c>
      <c r="K333" s="32" t="b">
        <v>0</v>
      </c>
    </row>
    <row r="334" spans="2:11" ht="17" x14ac:dyDescent="0.2">
      <c r="B334" s="335" t="s">
        <v>1257</v>
      </c>
      <c r="C334" s="38" t="s">
        <v>551</v>
      </c>
      <c r="D334" s="166" t="s">
        <v>965</v>
      </c>
      <c r="E334" s="163">
        <v>5.6129999999999999E-2</v>
      </c>
      <c r="F334" s="163">
        <v>2.053E-2</v>
      </c>
      <c r="G334" s="270">
        <v>6.2680000000000001E-3</v>
      </c>
      <c r="H334" s="163">
        <v>0.2908</v>
      </c>
      <c r="I334" s="163">
        <v>1.2710000000000001E-2</v>
      </c>
      <c r="J334" s="31" t="b">
        <v>0</v>
      </c>
      <c r="K334" s="32" t="b">
        <v>0</v>
      </c>
    </row>
    <row r="335" spans="2:11" ht="17" x14ac:dyDescent="0.2">
      <c r="B335" s="335" t="s">
        <v>1256</v>
      </c>
      <c r="C335" s="38" t="s">
        <v>551</v>
      </c>
      <c r="D335" s="166" t="s">
        <v>961</v>
      </c>
      <c r="E335" s="163">
        <v>5.6059999999999999E-2</v>
      </c>
      <c r="F335" s="163">
        <v>4.5940000000000002E-2</v>
      </c>
      <c r="G335" s="270">
        <v>0.22239999999999999</v>
      </c>
      <c r="H335" s="163">
        <v>2.162E-2</v>
      </c>
      <c r="I335" s="163">
        <v>1.702E-3</v>
      </c>
      <c r="J335" s="31" t="b">
        <v>0</v>
      </c>
      <c r="K335" s="32" t="b">
        <v>0</v>
      </c>
    </row>
    <row r="336" spans="2:11" ht="17" x14ac:dyDescent="0.2">
      <c r="B336" s="335" t="s">
        <v>1254</v>
      </c>
      <c r="C336" s="38" t="s">
        <v>551</v>
      </c>
      <c r="D336" s="166" t="s">
        <v>961</v>
      </c>
      <c r="E336" s="163">
        <v>5.5469999999999998E-2</v>
      </c>
      <c r="F336" s="163">
        <v>4.7350000000000003E-2</v>
      </c>
      <c r="G336" s="270">
        <v>0.24149999999999999</v>
      </c>
      <c r="H336" s="163">
        <v>1.745E-2</v>
      </c>
      <c r="I336" s="163">
        <v>1.983E-3</v>
      </c>
      <c r="J336" s="31" t="b">
        <v>0</v>
      </c>
      <c r="K336" s="32" t="b">
        <v>0</v>
      </c>
    </row>
    <row r="337" spans="2:11" ht="17" x14ac:dyDescent="0.2">
      <c r="B337" s="335" t="s">
        <v>1255</v>
      </c>
      <c r="C337" s="38" t="s">
        <v>551</v>
      </c>
      <c r="D337" s="166" t="s">
        <v>961</v>
      </c>
      <c r="E337" s="163">
        <v>5.5469999999999998E-2</v>
      </c>
      <c r="F337" s="163">
        <v>4.7350000000000003E-2</v>
      </c>
      <c r="G337" s="270">
        <v>0.24149999999999999</v>
      </c>
      <c r="H337" s="163">
        <v>1.745E-2</v>
      </c>
      <c r="I337" s="163">
        <v>1.983E-3</v>
      </c>
      <c r="J337" s="31" t="b">
        <v>0</v>
      </c>
      <c r="K337" s="32" t="b">
        <v>0</v>
      </c>
    </row>
    <row r="338" spans="2:11" ht="17" x14ac:dyDescent="0.2">
      <c r="B338" s="335" t="s">
        <v>1253</v>
      </c>
      <c r="C338" s="38" t="s">
        <v>1037</v>
      </c>
      <c r="D338" s="166" t="s">
        <v>965</v>
      </c>
      <c r="E338" s="163">
        <v>5.5390000000000002E-2</v>
      </c>
      <c r="F338" s="163">
        <v>2.7400000000000001E-2</v>
      </c>
      <c r="G338" s="270">
        <v>4.3180000000000003E-2</v>
      </c>
      <c r="H338" s="163">
        <v>0.16669999999999999</v>
      </c>
      <c r="I338" s="163">
        <v>2.0709999999999999E-2</v>
      </c>
      <c r="J338" s="31" t="b">
        <v>0</v>
      </c>
      <c r="K338" s="32" t="b">
        <v>0</v>
      </c>
    </row>
    <row r="339" spans="2:11" ht="17" x14ac:dyDescent="0.2">
      <c r="B339" s="335" t="s">
        <v>1252</v>
      </c>
      <c r="C339" s="38" t="s">
        <v>1037</v>
      </c>
      <c r="D339" s="166" t="s">
        <v>965</v>
      </c>
      <c r="E339" s="163">
        <v>5.5059999999999998E-2</v>
      </c>
      <c r="F339" s="163">
        <v>2.9520000000000001E-2</v>
      </c>
      <c r="G339" s="270">
        <v>6.2190000000000002E-2</v>
      </c>
      <c r="H339" s="163">
        <v>0.15490000000000001</v>
      </c>
      <c r="I339" s="163">
        <v>1.804E-2</v>
      </c>
      <c r="J339" s="31" t="b">
        <v>0</v>
      </c>
      <c r="K339" s="32" t="b">
        <v>0</v>
      </c>
    </row>
    <row r="340" spans="2:11" ht="17" x14ac:dyDescent="0.2">
      <c r="B340" s="335" t="s">
        <v>1251</v>
      </c>
      <c r="C340" s="38" t="s">
        <v>551</v>
      </c>
      <c r="D340" s="166" t="s">
        <v>961</v>
      </c>
      <c r="E340" s="163">
        <v>5.4940000000000003E-2</v>
      </c>
      <c r="F340" s="163">
        <v>8.0159999999999995E-2</v>
      </c>
      <c r="G340" s="270">
        <v>0.49309999999999998</v>
      </c>
      <c r="H340" s="163">
        <v>4.7070000000000002E-3</v>
      </c>
      <c r="I340" s="163">
        <v>1.4270000000000001E-3</v>
      </c>
      <c r="J340" s="31" t="b">
        <v>0</v>
      </c>
      <c r="K340" s="32" t="b">
        <v>0</v>
      </c>
    </row>
    <row r="341" spans="2:11" ht="17" x14ac:dyDescent="0.2">
      <c r="B341" s="335" t="s">
        <v>1250</v>
      </c>
      <c r="C341" s="38" t="s">
        <v>551</v>
      </c>
      <c r="D341" s="166" t="s">
        <v>961</v>
      </c>
      <c r="E341" s="163">
        <v>5.4530000000000002E-2</v>
      </c>
      <c r="F341" s="163">
        <v>3.202E-2</v>
      </c>
      <c r="G341" s="270">
        <v>8.8539999999999994E-2</v>
      </c>
      <c r="H341" s="163">
        <v>4.113E-2</v>
      </c>
      <c r="I341" s="163">
        <v>2.2690000000000002E-3</v>
      </c>
      <c r="J341" s="31" t="b">
        <v>0</v>
      </c>
      <c r="K341" s="32" t="b">
        <v>0</v>
      </c>
    </row>
    <row r="342" spans="2:11" ht="17" x14ac:dyDescent="0.2">
      <c r="B342" s="335" t="s">
        <v>1249</v>
      </c>
      <c r="C342" s="38" t="s">
        <v>551</v>
      </c>
      <c r="D342" s="166" t="s">
        <v>961</v>
      </c>
      <c r="E342" s="163">
        <v>5.4239999999999997E-2</v>
      </c>
      <c r="F342" s="163">
        <v>7.2529999999999997E-2</v>
      </c>
      <c r="G342" s="270">
        <v>0.4546</v>
      </c>
      <c r="H342" s="163">
        <v>4.6899999999999997E-3</v>
      </c>
      <c r="I342" s="163">
        <v>1.2409999999999999E-3</v>
      </c>
      <c r="J342" s="31" t="b">
        <v>0</v>
      </c>
      <c r="K342" s="32" t="b">
        <v>0</v>
      </c>
    </row>
    <row r="343" spans="2:11" ht="17" x14ac:dyDescent="0.2">
      <c r="B343" s="335" t="s">
        <v>1248</v>
      </c>
      <c r="C343" s="38" t="s">
        <v>551</v>
      </c>
      <c r="D343" s="166" t="s">
        <v>961</v>
      </c>
      <c r="E343" s="163">
        <v>5.4080000000000003E-2</v>
      </c>
      <c r="F343" s="163">
        <v>7.9850000000000004E-2</v>
      </c>
      <c r="G343" s="270">
        <v>0.49830000000000002</v>
      </c>
      <c r="H343" s="163">
        <v>3.0019999999999999E-3</v>
      </c>
      <c r="I343" s="163">
        <v>1.3060000000000001E-3</v>
      </c>
      <c r="J343" s="31" t="b">
        <v>0</v>
      </c>
      <c r="K343" s="32" t="b">
        <v>0</v>
      </c>
    </row>
    <row r="344" spans="2:11" ht="17" x14ac:dyDescent="0.2">
      <c r="B344" s="335" t="s">
        <v>1247</v>
      </c>
      <c r="C344" s="38" t="s">
        <v>1037</v>
      </c>
      <c r="D344" s="166" t="s">
        <v>965</v>
      </c>
      <c r="E344" s="163">
        <v>5.3949999999999998E-2</v>
      </c>
      <c r="F344" s="163">
        <v>3.388E-2</v>
      </c>
      <c r="G344" s="270">
        <v>0.1113</v>
      </c>
      <c r="H344" s="163">
        <v>0.1401</v>
      </c>
      <c r="I344" s="163">
        <v>1.222E-2</v>
      </c>
      <c r="J344" s="31" t="b">
        <v>0</v>
      </c>
      <c r="K344" s="32" t="b">
        <v>0</v>
      </c>
    </row>
    <row r="345" spans="2:11" ht="17" x14ac:dyDescent="0.2">
      <c r="B345" s="335" t="s">
        <v>1246</v>
      </c>
      <c r="C345" s="38" t="s">
        <v>551</v>
      </c>
      <c r="D345" s="166" t="s">
        <v>961</v>
      </c>
      <c r="E345" s="163">
        <v>5.3749999999999999E-2</v>
      </c>
      <c r="F345" s="163">
        <v>6.633E-2</v>
      </c>
      <c r="G345" s="270">
        <v>0.4178</v>
      </c>
      <c r="H345" s="163">
        <v>5.2709999999999996E-3</v>
      </c>
      <c r="I345" s="163">
        <v>1.325E-3</v>
      </c>
      <c r="J345" s="31" t="b">
        <v>0</v>
      </c>
      <c r="K345" s="32" t="b">
        <v>0</v>
      </c>
    </row>
    <row r="346" spans="2:11" ht="17" x14ac:dyDescent="0.2">
      <c r="B346" s="335" t="s">
        <v>1245</v>
      </c>
      <c r="C346" s="38" t="s">
        <v>551</v>
      </c>
      <c r="D346" s="166" t="s">
        <v>961</v>
      </c>
      <c r="E346" s="163">
        <v>5.2999999999999999E-2</v>
      </c>
      <c r="F346" s="163">
        <v>4.5510000000000002E-2</v>
      </c>
      <c r="G346" s="270">
        <v>0.24429999999999999</v>
      </c>
      <c r="H346" s="163">
        <v>1.363E-2</v>
      </c>
      <c r="I346" s="163">
        <v>3.3930000000000002E-3</v>
      </c>
      <c r="J346" s="31" t="b">
        <v>0</v>
      </c>
      <c r="K346" s="32" t="b">
        <v>0</v>
      </c>
    </row>
    <row r="347" spans="2:11" ht="34" x14ac:dyDescent="0.2">
      <c r="B347" s="335" t="s">
        <v>1244</v>
      </c>
      <c r="C347" s="38" t="s">
        <v>551</v>
      </c>
      <c r="D347" s="166" t="s">
        <v>961</v>
      </c>
      <c r="E347" s="163">
        <v>5.2979999999999999E-2</v>
      </c>
      <c r="F347" s="163">
        <v>7.6899999999999996E-2</v>
      </c>
      <c r="G347" s="270">
        <v>0.49080000000000001</v>
      </c>
      <c r="H347" s="163">
        <v>1.0699999999999999E-2</v>
      </c>
      <c r="I347" s="163">
        <v>3.5079999999999998E-3</v>
      </c>
      <c r="J347" s="31" t="b">
        <v>0</v>
      </c>
      <c r="K347" s="32" t="b">
        <v>0</v>
      </c>
    </row>
    <row r="348" spans="2:11" ht="17" x14ac:dyDescent="0.2">
      <c r="B348" s="335" t="s">
        <v>1242</v>
      </c>
      <c r="C348" s="38" t="s">
        <v>551</v>
      </c>
      <c r="D348" s="166" t="s">
        <v>961</v>
      </c>
      <c r="E348" s="163">
        <v>5.2670000000000002E-2</v>
      </c>
      <c r="F348" s="163">
        <v>9.2429999999999998E-2</v>
      </c>
      <c r="G348" s="270">
        <v>0.56879999999999997</v>
      </c>
      <c r="H348" s="163">
        <v>3.1960000000000001E-3</v>
      </c>
      <c r="I348" s="163">
        <v>1.3060000000000001E-3</v>
      </c>
      <c r="J348" s="31" t="b">
        <v>0</v>
      </c>
      <c r="K348" s="32" t="b">
        <v>0</v>
      </c>
    </row>
    <row r="349" spans="2:11" ht="17" x14ac:dyDescent="0.2">
      <c r="B349" s="335" t="s">
        <v>1243</v>
      </c>
      <c r="C349" s="38" t="s">
        <v>551</v>
      </c>
      <c r="D349" s="166" t="s">
        <v>961</v>
      </c>
      <c r="E349" s="163">
        <v>5.2670000000000002E-2</v>
      </c>
      <c r="F349" s="163">
        <v>4.6129999999999997E-2</v>
      </c>
      <c r="G349" s="270">
        <v>0.2535</v>
      </c>
      <c r="H349" s="163">
        <v>1.3350000000000001E-2</v>
      </c>
      <c r="I349" s="163">
        <v>3.3700000000000002E-3</v>
      </c>
      <c r="J349" s="31" t="b">
        <v>0</v>
      </c>
      <c r="K349" s="32" t="b">
        <v>0</v>
      </c>
    </row>
    <row r="350" spans="2:11" ht="34" x14ac:dyDescent="0.2">
      <c r="B350" s="335" t="s">
        <v>1241</v>
      </c>
      <c r="C350" s="38" t="s">
        <v>551</v>
      </c>
      <c r="D350" s="166" t="s">
        <v>961</v>
      </c>
      <c r="E350" s="163">
        <v>5.2499999999999998E-2</v>
      </c>
      <c r="F350" s="163">
        <v>6.7580000000000001E-2</v>
      </c>
      <c r="G350" s="270">
        <v>0.43730000000000002</v>
      </c>
      <c r="H350" s="163">
        <v>5.5799999999999999E-3</v>
      </c>
      <c r="I350" s="163">
        <v>1.273E-3</v>
      </c>
      <c r="J350" s="31" t="b">
        <v>0</v>
      </c>
      <c r="K350" s="32" t="b">
        <v>0</v>
      </c>
    </row>
    <row r="351" spans="2:11" ht="34" x14ac:dyDescent="0.2">
      <c r="B351" s="335" t="s">
        <v>1240</v>
      </c>
      <c r="C351" s="38" t="s">
        <v>551</v>
      </c>
      <c r="D351" s="166" t="s">
        <v>961</v>
      </c>
      <c r="E351" s="163">
        <v>5.2249999999999998E-2</v>
      </c>
      <c r="F351" s="163">
        <v>9.7790000000000002E-2</v>
      </c>
      <c r="G351" s="270">
        <v>0.59319999999999995</v>
      </c>
      <c r="H351" s="163">
        <v>2.111E-3</v>
      </c>
      <c r="I351" s="163">
        <v>1.1000000000000001E-3</v>
      </c>
      <c r="J351" s="31" t="b">
        <v>0</v>
      </c>
      <c r="K351" s="32" t="b">
        <v>0</v>
      </c>
    </row>
    <row r="352" spans="2:11" ht="34" x14ac:dyDescent="0.2">
      <c r="B352" s="335" t="s">
        <v>1239</v>
      </c>
      <c r="C352" s="38" t="s">
        <v>551</v>
      </c>
      <c r="D352" s="166" t="s">
        <v>961</v>
      </c>
      <c r="E352" s="163">
        <v>5.1569999999999998E-2</v>
      </c>
      <c r="F352" s="163">
        <v>4.4569999999999999E-2</v>
      </c>
      <c r="G352" s="270">
        <v>0.2472</v>
      </c>
      <c r="H352" s="163">
        <v>1.247E-2</v>
      </c>
      <c r="I352" s="163">
        <v>1.5770000000000001E-3</v>
      </c>
      <c r="J352" s="31" t="b">
        <v>0</v>
      </c>
      <c r="K352" s="32" t="b">
        <v>0</v>
      </c>
    </row>
    <row r="353" spans="2:11" ht="17" x14ac:dyDescent="0.2">
      <c r="B353" s="335" t="s">
        <v>1237</v>
      </c>
      <c r="C353" s="38" t="s">
        <v>1238</v>
      </c>
      <c r="D353" s="166" t="s">
        <v>961</v>
      </c>
      <c r="E353" s="163">
        <v>4.913E-2</v>
      </c>
      <c r="F353" s="163">
        <v>2.3879999999999998E-2</v>
      </c>
      <c r="G353" s="270">
        <v>3.9649999999999998E-2</v>
      </c>
      <c r="H353" s="163">
        <v>0.24490000000000001</v>
      </c>
      <c r="I353" s="163">
        <v>8.94E-3</v>
      </c>
      <c r="J353" s="31" t="b">
        <v>0</v>
      </c>
      <c r="K353" s="32" t="b">
        <v>0</v>
      </c>
    </row>
    <row r="354" spans="2:11" ht="17" x14ac:dyDescent="0.2">
      <c r="B354" s="335" t="s">
        <v>1236</v>
      </c>
      <c r="C354" s="38" t="s">
        <v>551</v>
      </c>
      <c r="D354" s="166" t="s">
        <v>965</v>
      </c>
      <c r="E354" s="163">
        <v>4.7800000000000002E-2</v>
      </c>
      <c r="F354" s="163">
        <v>2.9770000000000001E-2</v>
      </c>
      <c r="G354" s="270">
        <v>0.1084</v>
      </c>
      <c r="H354" s="163">
        <v>4.2840000000000003E-2</v>
      </c>
      <c r="I354" s="163">
        <v>1.1350000000000001E-2</v>
      </c>
      <c r="J354" s="31" t="b">
        <v>0</v>
      </c>
      <c r="K354" s="32" t="b">
        <v>0</v>
      </c>
    </row>
    <row r="355" spans="2:11" ht="17" x14ac:dyDescent="0.2">
      <c r="B355" s="335" t="s">
        <v>1235</v>
      </c>
      <c r="C355" s="38" t="s">
        <v>551</v>
      </c>
      <c r="D355" s="166" t="s">
        <v>965</v>
      </c>
      <c r="E355" s="163">
        <v>4.6820000000000001E-2</v>
      </c>
      <c r="F355" s="163">
        <v>2.4199999999999999E-2</v>
      </c>
      <c r="G355" s="270">
        <v>5.3010000000000002E-2</v>
      </c>
      <c r="H355" s="163">
        <v>0.1469</v>
      </c>
      <c r="I355" s="163">
        <v>9.7680000000000006E-3</v>
      </c>
      <c r="J355" s="31" t="b">
        <v>0</v>
      </c>
      <c r="K355" s="32" t="b">
        <v>0</v>
      </c>
    </row>
    <row r="356" spans="2:11" ht="17" x14ac:dyDescent="0.2">
      <c r="B356" s="335" t="s">
        <v>1234</v>
      </c>
      <c r="C356" s="38" t="s">
        <v>551</v>
      </c>
      <c r="D356" s="166" t="s">
        <v>961</v>
      </c>
      <c r="E356" s="163">
        <v>4.6510000000000003E-2</v>
      </c>
      <c r="F356" s="163">
        <v>4.0210000000000003E-2</v>
      </c>
      <c r="G356" s="270">
        <v>0.24740000000000001</v>
      </c>
      <c r="H356" s="163">
        <v>1.787E-2</v>
      </c>
      <c r="I356" s="163">
        <v>1.4989999999999999E-3</v>
      </c>
      <c r="J356" s="31" t="b">
        <v>0</v>
      </c>
      <c r="K356" s="32" t="b">
        <v>0</v>
      </c>
    </row>
    <row r="357" spans="2:11" ht="17" x14ac:dyDescent="0.2">
      <c r="B357" s="335" t="s">
        <v>1233</v>
      </c>
      <c r="C357" s="38" t="s">
        <v>551</v>
      </c>
      <c r="D357" s="166" t="s">
        <v>965</v>
      </c>
      <c r="E357" s="163">
        <v>4.6390000000000001E-2</v>
      </c>
      <c r="F357" s="163">
        <v>2.9319999999999999E-2</v>
      </c>
      <c r="G357" s="270">
        <v>0.1137</v>
      </c>
      <c r="H357" s="163">
        <v>0.34989999999999999</v>
      </c>
      <c r="I357" s="163">
        <v>2.5389999999999999E-2</v>
      </c>
      <c r="J357" s="31" t="b">
        <v>0</v>
      </c>
      <c r="K357" s="32" t="b">
        <v>0</v>
      </c>
    </row>
    <row r="358" spans="2:11" ht="17" x14ac:dyDescent="0.2">
      <c r="B358" s="335" t="s">
        <v>1232</v>
      </c>
      <c r="C358" s="38" t="s">
        <v>551</v>
      </c>
      <c r="D358" s="166" t="s">
        <v>965</v>
      </c>
      <c r="E358" s="163">
        <v>4.6080000000000003E-2</v>
      </c>
      <c r="F358" s="163">
        <v>3.7310000000000003E-2</v>
      </c>
      <c r="G358" s="270">
        <v>0.21690000000000001</v>
      </c>
      <c r="H358" s="163">
        <v>2.9440000000000001E-2</v>
      </c>
      <c r="I358" s="163">
        <v>6.5680000000000001E-3</v>
      </c>
      <c r="J358" s="31" t="b">
        <v>0</v>
      </c>
      <c r="K358" s="32" t="b">
        <v>0</v>
      </c>
    </row>
    <row r="359" spans="2:11" ht="34" x14ac:dyDescent="0.2">
      <c r="B359" s="335" t="s">
        <v>1231</v>
      </c>
      <c r="C359" s="38" t="s">
        <v>551</v>
      </c>
      <c r="D359" s="166" t="s">
        <v>961</v>
      </c>
      <c r="E359" s="163">
        <v>4.5850000000000002E-2</v>
      </c>
      <c r="F359" s="163">
        <v>8.7349999999999997E-2</v>
      </c>
      <c r="G359" s="270">
        <v>0.59960000000000002</v>
      </c>
      <c r="H359" s="163">
        <v>3.5630000000000002E-3</v>
      </c>
      <c r="I359" s="163">
        <v>1.364E-3</v>
      </c>
      <c r="J359" s="31" t="b">
        <v>0</v>
      </c>
      <c r="K359" s="32" t="b">
        <v>0</v>
      </c>
    </row>
    <row r="360" spans="2:11" ht="17" x14ac:dyDescent="0.2">
      <c r="B360" s="335" t="s">
        <v>1230</v>
      </c>
      <c r="C360" s="38" t="s">
        <v>551</v>
      </c>
      <c r="D360" s="166" t="s">
        <v>961</v>
      </c>
      <c r="E360" s="163">
        <v>4.5409999999999999E-2</v>
      </c>
      <c r="F360" s="163">
        <v>3.9669999999999997E-2</v>
      </c>
      <c r="G360" s="270">
        <v>0.25230000000000002</v>
      </c>
      <c r="H360" s="163">
        <v>5.7619999999999998E-2</v>
      </c>
      <c r="I360" s="163">
        <v>4.7499999999999999E-3</v>
      </c>
      <c r="J360" s="31" t="b">
        <v>0</v>
      </c>
      <c r="K360" s="32" t="b">
        <v>0</v>
      </c>
    </row>
    <row r="361" spans="2:11" ht="17" x14ac:dyDescent="0.2">
      <c r="B361" s="335" t="s">
        <v>1229</v>
      </c>
      <c r="C361" s="38" t="s">
        <v>1012</v>
      </c>
      <c r="D361" s="166" t="s">
        <v>965</v>
      </c>
      <c r="E361" s="163">
        <v>4.5330000000000002E-2</v>
      </c>
      <c r="F361" s="163">
        <v>8.6970000000000006E-2</v>
      </c>
      <c r="G361" s="270">
        <v>0.60229999999999995</v>
      </c>
      <c r="H361" s="163">
        <v>8.8609999999999994E-2</v>
      </c>
      <c r="I361" s="163">
        <v>3.6179999999999997E-2</v>
      </c>
      <c r="J361" s="31" t="b">
        <v>0</v>
      </c>
      <c r="K361" s="32" t="b">
        <v>0</v>
      </c>
    </row>
    <row r="362" spans="2:11" ht="17" x14ac:dyDescent="0.2">
      <c r="B362" s="335" t="s">
        <v>1228</v>
      </c>
      <c r="C362" s="38" t="s">
        <v>551</v>
      </c>
      <c r="D362" s="166" t="s">
        <v>960</v>
      </c>
      <c r="E362" s="163">
        <v>4.4810000000000003E-2</v>
      </c>
      <c r="F362" s="163">
        <v>0.14460000000000001</v>
      </c>
      <c r="G362" s="270">
        <v>0.75670000000000004</v>
      </c>
      <c r="H362" s="163">
        <v>4.2840000000000003E-2</v>
      </c>
      <c r="I362" s="163">
        <v>4.5379999999999997E-2</v>
      </c>
      <c r="J362" s="31" t="b">
        <v>0</v>
      </c>
      <c r="K362" s="32" t="b">
        <v>0</v>
      </c>
    </row>
    <row r="363" spans="2:11" ht="17" x14ac:dyDescent="0.2">
      <c r="B363" s="335" t="s">
        <v>1227</v>
      </c>
      <c r="C363" s="38" t="s">
        <v>551</v>
      </c>
      <c r="D363" s="166" t="s">
        <v>961</v>
      </c>
      <c r="E363" s="163">
        <v>4.4519999999999997E-2</v>
      </c>
      <c r="F363" s="163">
        <v>7.2429999999999994E-2</v>
      </c>
      <c r="G363" s="270">
        <v>0.53869999999999996</v>
      </c>
      <c r="H363" s="163">
        <v>4.8970000000000003E-3</v>
      </c>
      <c r="I363" s="163">
        <v>1.299E-3</v>
      </c>
      <c r="J363" s="31" t="b">
        <v>0</v>
      </c>
      <c r="K363" s="32" t="b">
        <v>0</v>
      </c>
    </row>
    <row r="364" spans="2:11" ht="17" x14ac:dyDescent="0.2">
      <c r="B364" s="335" t="s">
        <v>1226</v>
      </c>
      <c r="C364" s="38" t="s">
        <v>551</v>
      </c>
      <c r="D364" s="166" t="s">
        <v>965</v>
      </c>
      <c r="E364" s="163">
        <v>4.3450000000000003E-2</v>
      </c>
      <c r="F364" s="163">
        <v>2.9929999999999998E-2</v>
      </c>
      <c r="G364" s="270">
        <v>0.14660000000000001</v>
      </c>
      <c r="H364" s="163">
        <v>0.12809999999999999</v>
      </c>
      <c r="I364" s="163">
        <v>1.1169999999999999E-2</v>
      </c>
      <c r="J364" s="31" t="b">
        <v>0</v>
      </c>
      <c r="K364" s="32" t="b">
        <v>0</v>
      </c>
    </row>
    <row r="365" spans="2:11" ht="17" x14ac:dyDescent="0.2">
      <c r="B365" s="335" t="s">
        <v>1225</v>
      </c>
      <c r="C365" s="38" t="s">
        <v>551</v>
      </c>
      <c r="D365" s="166" t="s">
        <v>961</v>
      </c>
      <c r="E365" s="163">
        <v>4.3159999999999997E-2</v>
      </c>
      <c r="F365" s="163">
        <v>2.8459999999999999E-2</v>
      </c>
      <c r="G365" s="270">
        <v>0.12939999999999999</v>
      </c>
      <c r="H365" s="163">
        <v>5.074E-2</v>
      </c>
      <c r="I365" s="163">
        <v>2.3960000000000001E-3</v>
      </c>
      <c r="J365" s="31" t="b">
        <v>0</v>
      </c>
      <c r="K365" s="32" t="b">
        <v>0</v>
      </c>
    </row>
    <row r="366" spans="2:11" ht="17" x14ac:dyDescent="0.2">
      <c r="B366" s="335" t="s">
        <v>1224</v>
      </c>
      <c r="C366" s="38" t="s">
        <v>551</v>
      </c>
      <c r="D366" s="166" t="s">
        <v>965</v>
      </c>
      <c r="E366" s="163">
        <v>4.2709999999999998E-2</v>
      </c>
      <c r="F366" s="163">
        <v>2.861E-2</v>
      </c>
      <c r="G366" s="270">
        <v>0.13550000000000001</v>
      </c>
      <c r="H366" s="163">
        <v>0.33589999999999998</v>
      </c>
      <c r="I366" s="163">
        <v>2.572E-2</v>
      </c>
      <c r="J366" s="31" t="b">
        <v>0</v>
      </c>
      <c r="K366" s="32" t="b">
        <v>0</v>
      </c>
    </row>
    <row r="367" spans="2:11" ht="17" x14ac:dyDescent="0.2">
      <c r="B367" s="335" t="s">
        <v>1223</v>
      </c>
      <c r="C367" s="38" t="s">
        <v>551</v>
      </c>
      <c r="D367" s="166" t="s">
        <v>961</v>
      </c>
      <c r="E367" s="163">
        <v>4.2110000000000002E-2</v>
      </c>
      <c r="F367" s="163">
        <v>6.3009999999999997E-2</v>
      </c>
      <c r="G367" s="270">
        <v>0.50390000000000001</v>
      </c>
      <c r="H367" s="163">
        <v>5.7460000000000002E-3</v>
      </c>
      <c r="I367" s="163">
        <v>1.206E-3</v>
      </c>
      <c r="J367" s="31" t="b">
        <v>0</v>
      </c>
      <c r="K367" s="32" t="b">
        <v>0</v>
      </c>
    </row>
    <row r="368" spans="2:11" ht="17" x14ac:dyDescent="0.2">
      <c r="B368" s="335" t="s">
        <v>1222</v>
      </c>
      <c r="C368" s="38" t="s">
        <v>551</v>
      </c>
      <c r="D368" s="166" t="s">
        <v>965</v>
      </c>
      <c r="E368" s="163">
        <v>4.2040000000000001E-2</v>
      </c>
      <c r="F368" s="163">
        <v>4.6800000000000001E-2</v>
      </c>
      <c r="G368" s="270">
        <v>0.36909999999999998</v>
      </c>
      <c r="H368" s="163">
        <v>7.034E-2</v>
      </c>
      <c r="I368" s="163">
        <v>6.7629999999999999E-3</v>
      </c>
      <c r="J368" s="31" t="b">
        <v>0</v>
      </c>
      <c r="K368" s="32" t="b">
        <v>0</v>
      </c>
    </row>
    <row r="369" spans="2:11" ht="17" x14ac:dyDescent="0.2">
      <c r="B369" s="335" t="s">
        <v>1221</v>
      </c>
      <c r="C369" s="38" t="s">
        <v>551</v>
      </c>
      <c r="D369" s="166" t="s">
        <v>965</v>
      </c>
      <c r="E369" s="163">
        <v>4.0840000000000001E-2</v>
      </c>
      <c r="F369" s="163">
        <v>3.0759999999999999E-2</v>
      </c>
      <c r="G369" s="270">
        <v>0.18440000000000001</v>
      </c>
      <c r="H369" s="163">
        <v>0.13020000000000001</v>
      </c>
      <c r="I369" s="163">
        <v>1.0359999999999999E-2</v>
      </c>
      <c r="J369" s="31" t="b">
        <v>0</v>
      </c>
      <c r="K369" s="32" t="b">
        <v>0</v>
      </c>
    </row>
    <row r="370" spans="2:11" ht="17" x14ac:dyDescent="0.2">
      <c r="B370" s="335" t="s">
        <v>1220</v>
      </c>
      <c r="C370" s="38" t="s">
        <v>551</v>
      </c>
      <c r="D370" s="166" t="s">
        <v>961</v>
      </c>
      <c r="E370" s="163">
        <v>4.0820000000000002E-2</v>
      </c>
      <c r="F370" s="163">
        <v>6.9639999999999994E-2</v>
      </c>
      <c r="G370" s="270">
        <v>0.55779999999999996</v>
      </c>
      <c r="H370" s="163">
        <v>1.7409999999999998E-2</v>
      </c>
      <c r="I370" s="163">
        <v>4.4929999999999996E-3</v>
      </c>
      <c r="J370" s="31" t="b">
        <v>0</v>
      </c>
      <c r="K370" s="32" t="b">
        <v>0</v>
      </c>
    </row>
    <row r="371" spans="2:11" ht="17" x14ac:dyDescent="0.2">
      <c r="B371" s="335" t="s">
        <v>1219</v>
      </c>
      <c r="C371" s="38" t="s">
        <v>551</v>
      </c>
      <c r="D371" s="166" t="s">
        <v>961</v>
      </c>
      <c r="E371" s="163">
        <v>4.0250000000000001E-2</v>
      </c>
      <c r="F371" s="163">
        <v>7.986E-2</v>
      </c>
      <c r="G371" s="270">
        <v>0.61419999999999997</v>
      </c>
      <c r="H371" s="163">
        <v>3.3050000000000002E-3</v>
      </c>
      <c r="I371" s="163">
        <v>1.1720000000000001E-3</v>
      </c>
      <c r="J371" s="31" t="b">
        <v>0</v>
      </c>
      <c r="K371" s="32" t="b">
        <v>0</v>
      </c>
    </row>
    <row r="372" spans="2:11" ht="17" x14ac:dyDescent="0.2">
      <c r="B372" s="335" t="s">
        <v>1218</v>
      </c>
      <c r="C372" s="38" t="s">
        <v>551</v>
      </c>
      <c r="D372" s="166" t="s">
        <v>961</v>
      </c>
      <c r="E372" s="163">
        <v>4.0230000000000002E-2</v>
      </c>
      <c r="F372" s="163">
        <v>9.4740000000000005E-2</v>
      </c>
      <c r="G372" s="270">
        <v>0.67110000000000003</v>
      </c>
      <c r="H372" s="163">
        <v>3.4220000000000001E-3</v>
      </c>
      <c r="I372" s="163">
        <v>1.6429999999999999E-3</v>
      </c>
      <c r="J372" s="31" t="b">
        <v>0</v>
      </c>
      <c r="K372" s="32" t="b">
        <v>0</v>
      </c>
    </row>
    <row r="373" spans="2:11" ht="17" x14ac:dyDescent="0.2">
      <c r="B373" s="335" t="s">
        <v>1217</v>
      </c>
      <c r="C373" s="38" t="s">
        <v>551</v>
      </c>
      <c r="D373" s="166" t="s">
        <v>965</v>
      </c>
      <c r="E373" s="163">
        <v>4.0129999999999999E-2</v>
      </c>
      <c r="F373" s="163">
        <v>2.707E-2</v>
      </c>
      <c r="G373" s="270">
        <v>0.13819999999999999</v>
      </c>
      <c r="H373" s="163">
        <v>0.23960000000000001</v>
      </c>
      <c r="I373" s="163">
        <v>2.8680000000000001E-2</v>
      </c>
      <c r="J373" s="31" t="b">
        <v>0</v>
      </c>
      <c r="K373" s="32" t="b">
        <v>0</v>
      </c>
    </row>
    <row r="374" spans="2:11" ht="17" x14ac:dyDescent="0.2">
      <c r="B374" s="335" t="s">
        <v>1216</v>
      </c>
      <c r="C374" s="38" t="s">
        <v>551</v>
      </c>
      <c r="D374" s="166" t="s">
        <v>965</v>
      </c>
      <c r="E374" s="163">
        <v>4.0059999999999998E-2</v>
      </c>
      <c r="F374" s="163">
        <v>4.3490000000000001E-2</v>
      </c>
      <c r="G374" s="270">
        <v>0.35709999999999997</v>
      </c>
      <c r="H374" s="163">
        <v>0.1439</v>
      </c>
      <c r="I374" s="163">
        <v>1.4239999999999999E-2</v>
      </c>
      <c r="J374" s="31" t="b">
        <v>0</v>
      </c>
      <c r="K374" s="32" t="b">
        <v>0</v>
      </c>
    </row>
    <row r="375" spans="2:11" ht="17" x14ac:dyDescent="0.2">
      <c r="B375" s="335" t="s">
        <v>1214</v>
      </c>
      <c r="C375" s="38" t="s">
        <v>551</v>
      </c>
      <c r="D375" s="166" t="s">
        <v>965</v>
      </c>
      <c r="E375" s="163">
        <v>3.9190000000000003E-2</v>
      </c>
      <c r="F375" s="163">
        <v>2.9530000000000001E-2</v>
      </c>
      <c r="G375" s="270">
        <v>0.1845</v>
      </c>
      <c r="H375" s="163">
        <v>0.36309999999999998</v>
      </c>
      <c r="I375" s="163">
        <v>2.6499999999999999E-2</v>
      </c>
      <c r="J375" s="31" t="b">
        <v>0</v>
      </c>
      <c r="K375" s="32" t="b">
        <v>0</v>
      </c>
    </row>
    <row r="376" spans="2:11" ht="34" x14ac:dyDescent="0.2">
      <c r="B376" s="335" t="s">
        <v>1215</v>
      </c>
      <c r="C376" s="38" t="s">
        <v>551</v>
      </c>
      <c r="D376" s="166" t="s">
        <v>961</v>
      </c>
      <c r="E376" s="163">
        <v>3.9190000000000003E-2</v>
      </c>
      <c r="F376" s="163">
        <v>4.446E-2</v>
      </c>
      <c r="G376" s="270">
        <v>0.37809999999999999</v>
      </c>
      <c r="H376" s="163">
        <v>1.2200000000000001E-2</v>
      </c>
      <c r="I376" s="163">
        <v>1.5380000000000001E-3</v>
      </c>
      <c r="J376" s="31" t="b">
        <v>0</v>
      </c>
      <c r="K376" s="32" t="b">
        <v>0</v>
      </c>
    </row>
    <row r="377" spans="2:11" ht="17" x14ac:dyDescent="0.2">
      <c r="B377" s="335" t="s">
        <v>1213</v>
      </c>
      <c r="C377" s="38" t="s">
        <v>551</v>
      </c>
      <c r="D377" s="166" t="s">
        <v>965</v>
      </c>
      <c r="E377" s="163">
        <v>3.8710000000000001E-2</v>
      </c>
      <c r="F377" s="163">
        <v>6.8769999999999998E-2</v>
      </c>
      <c r="G377" s="270">
        <v>0.5736</v>
      </c>
      <c r="H377" s="163">
        <v>2.6290000000000001E-2</v>
      </c>
      <c r="I377" s="163">
        <v>6.1310000000000002E-3</v>
      </c>
      <c r="J377" s="31" t="b">
        <v>0</v>
      </c>
      <c r="K377" s="32" t="b">
        <v>0</v>
      </c>
    </row>
    <row r="378" spans="2:11" ht="17" x14ac:dyDescent="0.2">
      <c r="B378" s="335" t="s">
        <v>1212</v>
      </c>
      <c r="C378" s="38" t="s">
        <v>551</v>
      </c>
      <c r="D378" s="166" t="s">
        <v>961</v>
      </c>
      <c r="E378" s="163">
        <v>3.7990000000000003E-2</v>
      </c>
      <c r="F378" s="163">
        <v>7.9960000000000003E-2</v>
      </c>
      <c r="G378" s="270">
        <v>0.63470000000000004</v>
      </c>
      <c r="H378" s="163">
        <v>0.19139999999999999</v>
      </c>
      <c r="I378" s="163">
        <v>6.7710000000000006E-2</v>
      </c>
      <c r="J378" s="31" t="b">
        <v>0</v>
      </c>
      <c r="K378" s="32" t="b">
        <v>0</v>
      </c>
    </row>
    <row r="379" spans="2:11" ht="17" x14ac:dyDescent="0.2">
      <c r="B379" s="335" t="s">
        <v>1150</v>
      </c>
      <c r="C379" s="38" t="s">
        <v>1037</v>
      </c>
      <c r="D379" s="166" t="s">
        <v>965</v>
      </c>
      <c r="E379" s="163">
        <v>3.7990000000000003E-2</v>
      </c>
      <c r="F379" s="163">
        <v>2.87E-2</v>
      </c>
      <c r="G379" s="270">
        <v>0.18559999999999999</v>
      </c>
      <c r="H379" s="163">
        <v>0.24340000000000001</v>
      </c>
      <c r="I379" s="163">
        <v>2.7550000000000002E-2</v>
      </c>
      <c r="J379" s="31" t="b">
        <v>0</v>
      </c>
      <c r="K379" s="32" t="b">
        <v>0</v>
      </c>
    </row>
    <row r="380" spans="2:11" ht="17" x14ac:dyDescent="0.2">
      <c r="B380" s="335" t="s">
        <v>1211</v>
      </c>
      <c r="C380" s="38" t="s">
        <v>551</v>
      </c>
      <c r="D380" s="166" t="s">
        <v>960</v>
      </c>
      <c r="E380" s="163">
        <v>3.7850000000000002E-2</v>
      </c>
      <c r="F380" s="163">
        <v>6.5839999999999996E-2</v>
      </c>
      <c r="G380" s="270">
        <v>0.56540000000000001</v>
      </c>
      <c r="H380" s="163">
        <v>4.0129999999999999E-2</v>
      </c>
      <c r="I380" s="163">
        <v>8.6879999999999995E-3</v>
      </c>
      <c r="J380" s="31" t="b">
        <v>0</v>
      </c>
      <c r="K380" s="32" t="b">
        <v>0</v>
      </c>
    </row>
    <row r="381" spans="2:11" ht="17" x14ac:dyDescent="0.2">
      <c r="B381" s="335" t="s">
        <v>1210</v>
      </c>
      <c r="C381" s="38" t="s">
        <v>551</v>
      </c>
      <c r="D381" s="166" t="s">
        <v>965</v>
      </c>
      <c r="E381" s="163">
        <v>3.7629999999999997E-2</v>
      </c>
      <c r="F381" s="163">
        <v>2.4539999999999999E-2</v>
      </c>
      <c r="G381" s="270">
        <v>0.12529999999999999</v>
      </c>
      <c r="H381" s="163">
        <v>0.23069999999999999</v>
      </c>
      <c r="I381" s="163">
        <v>2.248E-2</v>
      </c>
      <c r="J381" s="31" t="b">
        <v>0</v>
      </c>
      <c r="K381" s="32" t="b">
        <v>0</v>
      </c>
    </row>
    <row r="382" spans="2:11" ht="34" x14ac:dyDescent="0.2">
      <c r="B382" s="335" t="s">
        <v>1209</v>
      </c>
      <c r="C382" s="38" t="s">
        <v>551</v>
      </c>
      <c r="D382" s="166" t="s">
        <v>961</v>
      </c>
      <c r="E382" s="163">
        <v>3.7609999999999998E-2</v>
      </c>
      <c r="F382" s="163">
        <v>7.6350000000000001E-2</v>
      </c>
      <c r="G382" s="270">
        <v>0.62229999999999996</v>
      </c>
      <c r="H382" s="163">
        <v>4.9630000000000004E-3</v>
      </c>
      <c r="I382" s="163">
        <v>1.3439999999999999E-3</v>
      </c>
      <c r="J382" s="31" t="b">
        <v>0</v>
      </c>
      <c r="K382" s="32" t="b">
        <v>0</v>
      </c>
    </row>
    <row r="383" spans="2:11" ht="17" x14ac:dyDescent="0.2">
      <c r="B383" s="335" t="s">
        <v>1208</v>
      </c>
      <c r="C383" s="38" t="s">
        <v>551</v>
      </c>
      <c r="D383" s="166" t="s">
        <v>961</v>
      </c>
      <c r="E383" s="163">
        <v>3.7470000000000003E-2</v>
      </c>
      <c r="F383" s="163">
        <v>3.7859999999999998E-2</v>
      </c>
      <c r="G383" s="270">
        <v>0.32219999999999999</v>
      </c>
      <c r="H383" s="163">
        <v>4.863E-2</v>
      </c>
      <c r="I383" s="163">
        <v>3.1689999999999999E-3</v>
      </c>
      <c r="J383" s="31" t="b">
        <v>0</v>
      </c>
      <c r="K383" s="32" t="b">
        <v>0</v>
      </c>
    </row>
    <row r="384" spans="2:11" ht="17" x14ac:dyDescent="0.2">
      <c r="B384" s="335" t="s">
        <v>1207</v>
      </c>
      <c r="C384" s="38" t="s">
        <v>551</v>
      </c>
      <c r="D384" s="166" t="s">
        <v>965</v>
      </c>
      <c r="E384" s="163">
        <v>3.7109999999999997E-2</v>
      </c>
      <c r="F384" s="163">
        <v>2.947E-2</v>
      </c>
      <c r="G384" s="270">
        <v>0.20810000000000001</v>
      </c>
      <c r="H384" s="163">
        <v>0.1719</v>
      </c>
      <c r="I384" s="163">
        <v>1.924E-2</v>
      </c>
      <c r="J384" s="31" t="b">
        <v>0</v>
      </c>
      <c r="K384" s="32" t="b">
        <v>0</v>
      </c>
    </row>
    <row r="385" spans="2:11" ht="17" x14ac:dyDescent="0.2">
      <c r="B385" s="335" t="s">
        <v>1206</v>
      </c>
      <c r="C385" s="38" t="s">
        <v>551</v>
      </c>
      <c r="D385" s="166" t="s">
        <v>965</v>
      </c>
      <c r="E385" s="163">
        <v>3.7039999999999997E-2</v>
      </c>
      <c r="F385" s="163">
        <v>3.0669999999999999E-2</v>
      </c>
      <c r="G385" s="270">
        <v>0.22720000000000001</v>
      </c>
      <c r="H385" s="163">
        <v>0.3513</v>
      </c>
      <c r="I385" s="163">
        <v>2.605E-2</v>
      </c>
      <c r="J385" s="31" t="b">
        <v>0</v>
      </c>
      <c r="K385" s="32" t="b">
        <v>0</v>
      </c>
    </row>
    <row r="386" spans="2:11" ht="17" x14ac:dyDescent="0.2">
      <c r="B386" s="335" t="s">
        <v>1205</v>
      </c>
      <c r="C386" s="38" t="s">
        <v>551</v>
      </c>
      <c r="D386" s="166" t="s">
        <v>965</v>
      </c>
      <c r="E386" s="163">
        <v>3.653E-2</v>
      </c>
      <c r="F386" s="163">
        <v>2.8969999999999999E-2</v>
      </c>
      <c r="G386" s="270">
        <v>0.20730000000000001</v>
      </c>
      <c r="H386" s="163">
        <v>0.35720000000000002</v>
      </c>
      <c r="I386" s="163">
        <v>2.5239999999999999E-2</v>
      </c>
      <c r="J386" s="31" t="b">
        <v>0</v>
      </c>
      <c r="K386" s="32" t="b">
        <v>0</v>
      </c>
    </row>
    <row r="387" spans="2:11" ht="17" x14ac:dyDescent="0.2">
      <c r="B387" s="335" t="s">
        <v>1204</v>
      </c>
      <c r="C387" s="38" t="s">
        <v>551</v>
      </c>
      <c r="D387" s="166" t="s">
        <v>961</v>
      </c>
      <c r="E387" s="163">
        <v>3.6450000000000003E-2</v>
      </c>
      <c r="F387" s="163">
        <v>6.8260000000000001E-2</v>
      </c>
      <c r="G387" s="270">
        <v>0.59340000000000004</v>
      </c>
      <c r="H387" s="163">
        <v>6.3829999999999998E-3</v>
      </c>
      <c r="I387" s="163">
        <v>1.317E-3</v>
      </c>
      <c r="J387" s="31" t="b">
        <v>0</v>
      </c>
      <c r="K387" s="32" t="b">
        <v>0</v>
      </c>
    </row>
    <row r="388" spans="2:11" ht="17" x14ac:dyDescent="0.2">
      <c r="B388" s="335" t="s">
        <v>1203</v>
      </c>
      <c r="C388" s="38" t="s">
        <v>1037</v>
      </c>
      <c r="D388" s="166" t="s">
        <v>965</v>
      </c>
      <c r="E388" s="163">
        <v>3.637E-2</v>
      </c>
      <c r="F388" s="163">
        <v>2.5600000000000001E-2</v>
      </c>
      <c r="G388" s="270">
        <v>0.1555</v>
      </c>
      <c r="H388" s="163">
        <v>0.18920000000000001</v>
      </c>
      <c r="I388" s="163">
        <v>2.3099999999999999E-2</v>
      </c>
      <c r="J388" s="31" t="b">
        <v>0</v>
      </c>
      <c r="K388" s="32" t="b">
        <v>0</v>
      </c>
    </row>
    <row r="389" spans="2:11" ht="17" x14ac:dyDescent="0.2">
      <c r="B389" s="335" t="s">
        <v>1202</v>
      </c>
      <c r="C389" s="38" t="s">
        <v>551</v>
      </c>
      <c r="D389" s="166" t="s">
        <v>961</v>
      </c>
      <c r="E389" s="163">
        <v>3.6299999999999999E-2</v>
      </c>
      <c r="F389" s="163">
        <v>0.10290000000000001</v>
      </c>
      <c r="G389" s="270">
        <v>0.72419999999999995</v>
      </c>
      <c r="H389" s="163">
        <v>3.049E-2</v>
      </c>
      <c r="I389" s="163">
        <v>1.468E-2</v>
      </c>
      <c r="J389" s="31" t="b">
        <v>0</v>
      </c>
      <c r="K389" s="32" t="b">
        <v>0</v>
      </c>
    </row>
    <row r="390" spans="2:11" ht="17" x14ac:dyDescent="0.2">
      <c r="B390" s="335" t="s">
        <v>1201</v>
      </c>
      <c r="C390" s="38" t="s">
        <v>551</v>
      </c>
      <c r="D390" s="166" t="s">
        <v>961</v>
      </c>
      <c r="E390" s="163">
        <v>3.5950000000000003E-2</v>
      </c>
      <c r="F390" s="163">
        <v>9.7850000000000006E-2</v>
      </c>
      <c r="G390" s="270">
        <v>0.71330000000000005</v>
      </c>
      <c r="H390" s="163">
        <v>2.6949999999999999E-3</v>
      </c>
      <c r="I390" s="163">
        <v>1.2340000000000001E-3</v>
      </c>
      <c r="J390" s="31" t="b">
        <v>0</v>
      </c>
      <c r="K390" s="32" t="b">
        <v>0</v>
      </c>
    </row>
    <row r="391" spans="2:11" ht="17" x14ac:dyDescent="0.2">
      <c r="B391" s="335" t="s">
        <v>1200</v>
      </c>
      <c r="C391" s="38" t="s">
        <v>551</v>
      </c>
      <c r="D391" s="166" t="s">
        <v>965</v>
      </c>
      <c r="E391" s="163">
        <v>3.576E-2</v>
      </c>
      <c r="F391" s="163">
        <v>7.7990000000000004E-2</v>
      </c>
      <c r="G391" s="270">
        <v>0.64659999999999995</v>
      </c>
      <c r="H391" s="163">
        <v>2.036E-2</v>
      </c>
      <c r="I391" s="163">
        <v>6.1159999999999999E-3</v>
      </c>
      <c r="J391" s="31" t="b">
        <v>0</v>
      </c>
      <c r="K391" s="32" t="b">
        <v>0</v>
      </c>
    </row>
    <row r="392" spans="2:11" ht="34" x14ac:dyDescent="0.2">
      <c r="B392" s="335" t="s">
        <v>1199</v>
      </c>
      <c r="C392" s="38" t="s">
        <v>551</v>
      </c>
      <c r="D392" s="166" t="s">
        <v>961</v>
      </c>
      <c r="E392" s="163">
        <v>3.5430000000000003E-2</v>
      </c>
      <c r="F392" s="163">
        <v>3.6540000000000003E-2</v>
      </c>
      <c r="G392" s="270">
        <v>0.3322</v>
      </c>
      <c r="H392" s="163">
        <v>7.1790000000000007E-2</v>
      </c>
      <c r="I392" s="163">
        <v>5.3330000000000001E-3</v>
      </c>
      <c r="J392" s="31" t="b">
        <v>0</v>
      </c>
      <c r="K392" s="32" t="b">
        <v>0</v>
      </c>
    </row>
    <row r="393" spans="2:11" ht="17" x14ac:dyDescent="0.2">
      <c r="B393" s="335" t="s">
        <v>1198</v>
      </c>
      <c r="C393" s="38" t="s">
        <v>551</v>
      </c>
      <c r="D393" s="166" t="s">
        <v>965</v>
      </c>
      <c r="E393" s="163">
        <v>3.5279999999999999E-2</v>
      </c>
      <c r="F393" s="163">
        <v>2.7210000000000002E-2</v>
      </c>
      <c r="G393" s="270">
        <v>0.1948</v>
      </c>
      <c r="H393" s="163">
        <v>0.13189999999999999</v>
      </c>
      <c r="I393" s="163">
        <v>5.5300000000000002E-3</v>
      </c>
      <c r="J393" s="31" t="b">
        <v>0</v>
      </c>
      <c r="K393" s="32" t="b">
        <v>0</v>
      </c>
    </row>
    <row r="394" spans="2:11" ht="17" x14ac:dyDescent="0.2">
      <c r="B394" s="335" t="s">
        <v>1197</v>
      </c>
      <c r="C394" s="38" t="s">
        <v>551</v>
      </c>
      <c r="D394" s="166" t="s">
        <v>965</v>
      </c>
      <c r="E394" s="163">
        <v>3.517E-2</v>
      </c>
      <c r="F394" s="163">
        <v>7.2349999999999998E-2</v>
      </c>
      <c r="G394" s="270">
        <v>0.62680000000000002</v>
      </c>
      <c r="H394" s="163">
        <v>2.4580000000000001E-2</v>
      </c>
      <c r="I394" s="163">
        <v>6.783E-3</v>
      </c>
      <c r="J394" s="31" t="b">
        <v>0</v>
      </c>
      <c r="K394" s="32" t="b">
        <v>0</v>
      </c>
    </row>
    <row r="395" spans="2:11" ht="17" x14ac:dyDescent="0.2">
      <c r="B395" s="335" t="s">
        <v>1196</v>
      </c>
      <c r="C395" s="38" t="s">
        <v>551</v>
      </c>
      <c r="D395" s="166" t="s">
        <v>965</v>
      </c>
      <c r="E395" s="163">
        <v>3.5159999999999997E-2</v>
      </c>
      <c r="F395" s="163">
        <v>2.6689999999999998E-2</v>
      </c>
      <c r="G395" s="270">
        <v>0.18779999999999999</v>
      </c>
      <c r="H395" s="163">
        <v>0.13780000000000001</v>
      </c>
      <c r="I395" s="163">
        <v>5.6249999999999998E-3</v>
      </c>
      <c r="J395" s="31" t="b">
        <v>0</v>
      </c>
      <c r="K395" s="32" t="b">
        <v>0</v>
      </c>
    </row>
    <row r="396" spans="2:11" ht="17" x14ac:dyDescent="0.2">
      <c r="B396" s="335" t="s">
        <v>1195</v>
      </c>
      <c r="C396" s="38" t="s">
        <v>551</v>
      </c>
      <c r="D396" s="166" t="s">
        <v>965</v>
      </c>
      <c r="E396" s="163">
        <v>3.5090000000000003E-2</v>
      </c>
      <c r="F396" s="163">
        <v>3.1600000000000003E-2</v>
      </c>
      <c r="G396" s="270">
        <v>0.26679999999999998</v>
      </c>
      <c r="H396" s="163">
        <v>0.1288</v>
      </c>
      <c r="I396" s="163">
        <v>1.136E-2</v>
      </c>
      <c r="J396" s="31" t="b">
        <v>0</v>
      </c>
      <c r="K396" s="32" t="b">
        <v>0</v>
      </c>
    </row>
    <row r="397" spans="2:11" ht="17" x14ac:dyDescent="0.2">
      <c r="B397" s="335" t="s">
        <v>1194</v>
      </c>
      <c r="C397" s="38" t="s">
        <v>551</v>
      </c>
      <c r="D397" s="166" t="s">
        <v>961</v>
      </c>
      <c r="E397" s="163">
        <v>3.4119999999999998E-2</v>
      </c>
      <c r="F397" s="163">
        <v>6.9620000000000001E-2</v>
      </c>
      <c r="G397" s="270">
        <v>0.62409999999999999</v>
      </c>
      <c r="H397" s="163">
        <v>4.5869999999999999E-3</v>
      </c>
      <c r="I397" s="163">
        <v>1.2539999999999999E-3</v>
      </c>
      <c r="J397" s="31" t="b">
        <v>0</v>
      </c>
      <c r="K397" s="32" t="b">
        <v>0</v>
      </c>
    </row>
    <row r="398" spans="2:11" ht="17" x14ac:dyDescent="0.2">
      <c r="B398" s="335" t="s">
        <v>1193</v>
      </c>
      <c r="C398" s="38" t="s">
        <v>551</v>
      </c>
      <c r="D398" s="166" t="s">
        <v>961</v>
      </c>
      <c r="E398" s="163">
        <v>3.3439999999999998E-2</v>
      </c>
      <c r="F398" s="163">
        <v>5.7090000000000002E-2</v>
      </c>
      <c r="G398" s="270">
        <v>0.55800000000000005</v>
      </c>
      <c r="H398" s="163">
        <v>6.9030000000000003E-3</v>
      </c>
      <c r="I398" s="163">
        <v>1.5640000000000001E-3</v>
      </c>
      <c r="J398" s="31" t="b">
        <v>0</v>
      </c>
      <c r="K398" s="32" t="b">
        <v>0</v>
      </c>
    </row>
    <row r="399" spans="2:11" ht="17" x14ac:dyDescent="0.2">
      <c r="B399" s="335" t="s">
        <v>1192</v>
      </c>
      <c r="C399" s="38" t="s">
        <v>551</v>
      </c>
      <c r="D399" s="166" t="s">
        <v>965</v>
      </c>
      <c r="E399" s="163">
        <v>3.3020000000000001E-2</v>
      </c>
      <c r="F399" s="163">
        <v>2.9479999999999999E-2</v>
      </c>
      <c r="G399" s="270">
        <v>0.2626</v>
      </c>
      <c r="H399" s="163">
        <v>0.31790000000000002</v>
      </c>
      <c r="I399" s="163">
        <v>2.4479999999999998E-2</v>
      </c>
      <c r="J399" s="31" t="b">
        <v>0</v>
      </c>
      <c r="K399" s="32" t="b">
        <v>0</v>
      </c>
    </row>
    <row r="400" spans="2:11" ht="17" x14ac:dyDescent="0.2">
      <c r="B400" s="335" t="s">
        <v>1190</v>
      </c>
      <c r="C400" s="38" t="s">
        <v>551</v>
      </c>
      <c r="D400" s="166" t="s">
        <v>961</v>
      </c>
      <c r="E400" s="163">
        <v>3.2759999999999997E-2</v>
      </c>
      <c r="F400" s="163">
        <v>6.2829999999999997E-2</v>
      </c>
      <c r="G400" s="270">
        <v>0.60209999999999997</v>
      </c>
      <c r="H400" s="163">
        <v>5.6270000000000001E-3</v>
      </c>
      <c r="I400" s="163">
        <v>1.351E-3</v>
      </c>
      <c r="J400" s="31" t="b">
        <v>0</v>
      </c>
      <c r="K400" s="32" t="b">
        <v>0</v>
      </c>
    </row>
    <row r="401" spans="2:11" ht="17" x14ac:dyDescent="0.2">
      <c r="B401" s="335" t="s">
        <v>1191</v>
      </c>
      <c r="C401" s="38" t="s">
        <v>551</v>
      </c>
      <c r="D401" s="166" t="s">
        <v>961</v>
      </c>
      <c r="E401" s="163">
        <v>3.2759999999999997E-2</v>
      </c>
      <c r="F401" s="163">
        <v>6.2829999999999997E-2</v>
      </c>
      <c r="G401" s="270">
        <v>0.60209999999999997</v>
      </c>
      <c r="H401" s="163">
        <v>5.6270000000000001E-3</v>
      </c>
      <c r="I401" s="163">
        <v>1.351E-3</v>
      </c>
      <c r="J401" s="31" t="b">
        <v>0</v>
      </c>
      <c r="K401" s="32" t="b">
        <v>0</v>
      </c>
    </row>
    <row r="402" spans="2:11" ht="17" x14ac:dyDescent="0.2">
      <c r="B402" s="335" t="s">
        <v>1189</v>
      </c>
      <c r="C402" s="38" t="s">
        <v>551</v>
      </c>
      <c r="D402" s="166" t="s">
        <v>961</v>
      </c>
      <c r="E402" s="163">
        <v>3.2669999999999998E-2</v>
      </c>
      <c r="F402" s="163">
        <v>3.9239999999999997E-2</v>
      </c>
      <c r="G402" s="270">
        <v>0.40510000000000002</v>
      </c>
      <c r="H402" s="163">
        <v>6.4180000000000001E-2</v>
      </c>
      <c r="I402" s="163">
        <v>5.1009999999999996E-3</v>
      </c>
      <c r="J402" s="31" t="b">
        <v>0</v>
      </c>
      <c r="K402" s="32" t="b">
        <v>0</v>
      </c>
    </row>
    <row r="403" spans="2:11" ht="17" x14ac:dyDescent="0.2">
      <c r="B403" s="335" t="s">
        <v>1188</v>
      </c>
      <c r="C403" s="38" t="s">
        <v>1037</v>
      </c>
      <c r="D403" s="166" t="s">
        <v>965</v>
      </c>
      <c r="E403" s="163">
        <v>3.2629999999999999E-2</v>
      </c>
      <c r="F403" s="163">
        <v>2.843E-2</v>
      </c>
      <c r="G403" s="270">
        <v>0.25109999999999999</v>
      </c>
      <c r="H403" s="163">
        <v>0.22989999999999999</v>
      </c>
      <c r="I403" s="163">
        <v>2.8410000000000001E-2</v>
      </c>
      <c r="J403" s="31" t="b">
        <v>0</v>
      </c>
      <c r="K403" s="32" t="b">
        <v>0</v>
      </c>
    </row>
    <row r="404" spans="2:11" ht="17" x14ac:dyDescent="0.2">
      <c r="B404" s="335" t="s">
        <v>1186</v>
      </c>
      <c r="C404" s="38" t="s">
        <v>1187</v>
      </c>
      <c r="D404" s="166" t="s">
        <v>965</v>
      </c>
      <c r="E404" s="163">
        <v>3.2489999999999998E-2</v>
      </c>
      <c r="F404" s="163">
        <v>1.934E-2</v>
      </c>
      <c r="G404" s="270">
        <v>9.2979999999999993E-2</v>
      </c>
      <c r="H404" s="163">
        <v>0.39369999999999999</v>
      </c>
      <c r="I404" s="163">
        <v>3.2140000000000002E-2</v>
      </c>
      <c r="J404" s="31" t="b">
        <v>0</v>
      </c>
      <c r="K404" s="32" t="b">
        <v>0</v>
      </c>
    </row>
    <row r="405" spans="2:11" ht="17" x14ac:dyDescent="0.2">
      <c r="B405" s="335" t="s">
        <v>1185</v>
      </c>
      <c r="C405" s="38" t="s">
        <v>1012</v>
      </c>
      <c r="D405" s="166" t="s">
        <v>965</v>
      </c>
      <c r="E405" s="163">
        <v>3.1940000000000003E-2</v>
      </c>
      <c r="F405" s="163">
        <v>7.5730000000000006E-2</v>
      </c>
      <c r="G405" s="270">
        <v>0.67320000000000002</v>
      </c>
      <c r="H405" s="163">
        <v>0.1356</v>
      </c>
      <c r="I405" s="163">
        <v>3.6249999999999998E-2</v>
      </c>
      <c r="J405" s="31" t="b">
        <v>0</v>
      </c>
      <c r="K405" s="32" t="b">
        <v>0</v>
      </c>
    </row>
    <row r="406" spans="2:11" ht="17" x14ac:dyDescent="0.2">
      <c r="B406" s="335" t="s">
        <v>1184</v>
      </c>
      <c r="C406" s="38" t="s">
        <v>551</v>
      </c>
      <c r="D406" s="166" t="s">
        <v>965</v>
      </c>
      <c r="E406" s="163">
        <v>3.1730000000000001E-2</v>
      </c>
      <c r="F406" s="163">
        <v>2.5069999999999999E-2</v>
      </c>
      <c r="G406" s="270">
        <v>0.20569999999999999</v>
      </c>
      <c r="H406" s="163">
        <v>0.26</v>
      </c>
      <c r="I406" s="163">
        <v>3.0360000000000002E-2</v>
      </c>
      <c r="J406" s="31" t="b">
        <v>0</v>
      </c>
      <c r="K406" s="32" t="b">
        <v>0</v>
      </c>
    </row>
    <row r="407" spans="2:11" ht="17" x14ac:dyDescent="0.2">
      <c r="B407" s="335" t="s">
        <v>1183</v>
      </c>
      <c r="C407" s="38" t="s">
        <v>551</v>
      </c>
      <c r="D407" s="166" t="s">
        <v>965</v>
      </c>
      <c r="E407" s="163">
        <v>3.1609999999999999E-2</v>
      </c>
      <c r="F407" s="163">
        <v>3.4430000000000002E-2</v>
      </c>
      <c r="G407" s="270">
        <v>0.35859999999999997</v>
      </c>
      <c r="H407" s="163">
        <v>0.12959999999999999</v>
      </c>
      <c r="I407" s="163">
        <v>9.8329999999999997E-3</v>
      </c>
      <c r="J407" s="31" t="b">
        <v>0</v>
      </c>
      <c r="K407" s="32" t="b">
        <v>0</v>
      </c>
    </row>
    <row r="408" spans="2:11" ht="17" x14ac:dyDescent="0.2">
      <c r="B408" s="335" t="s">
        <v>1182</v>
      </c>
      <c r="C408" s="38" t="s">
        <v>551</v>
      </c>
      <c r="D408" s="166" t="s">
        <v>965</v>
      </c>
      <c r="E408" s="163">
        <v>3.0890000000000001E-2</v>
      </c>
      <c r="F408" s="163">
        <v>2.8580000000000001E-2</v>
      </c>
      <c r="G408" s="270">
        <v>0.27979999999999999</v>
      </c>
      <c r="H408" s="163">
        <v>0.31859999999999999</v>
      </c>
      <c r="I408" s="163">
        <v>2.4500000000000001E-2</v>
      </c>
      <c r="J408" s="31" t="b">
        <v>0</v>
      </c>
      <c r="K408" s="32" t="b">
        <v>0</v>
      </c>
    </row>
    <row r="409" spans="2:11" ht="17" x14ac:dyDescent="0.2">
      <c r="B409" s="335" t="s">
        <v>1181</v>
      </c>
      <c r="C409" s="38" t="s">
        <v>551</v>
      </c>
      <c r="D409" s="166" t="s">
        <v>961</v>
      </c>
      <c r="E409" s="163">
        <v>3.0689999999999999E-2</v>
      </c>
      <c r="F409" s="163">
        <v>8.2580000000000001E-2</v>
      </c>
      <c r="G409" s="270">
        <v>0.71009999999999995</v>
      </c>
      <c r="H409" s="163">
        <v>4.6210000000000001E-3</v>
      </c>
      <c r="I409" s="163">
        <v>1.413E-3</v>
      </c>
      <c r="J409" s="31" t="b">
        <v>0</v>
      </c>
      <c r="K409" s="32" t="b">
        <v>0</v>
      </c>
    </row>
    <row r="410" spans="2:11" ht="17" x14ac:dyDescent="0.2">
      <c r="B410" s="335" t="s">
        <v>1180</v>
      </c>
      <c r="C410" s="38" t="s">
        <v>551</v>
      </c>
      <c r="D410" s="166" t="s">
        <v>965</v>
      </c>
      <c r="E410" s="163">
        <v>2.9399999999999999E-2</v>
      </c>
      <c r="F410" s="163">
        <v>4.4810000000000003E-2</v>
      </c>
      <c r="G410" s="270">
        <v>0.51180000000000003</v>
      </c>
      <c r="H410" s="163">
        <v>8.1049999999999997E-2</v>
      </c>
      <c r="I410" s="163">
        <v>7.7939999999999997E-3</v>
      </c>
      <c r="J410" s="31" t="b">
        <v>0</v>
      </c>
      <c r="K410" s="32" t="b">
        <v>0</v>
      </c>
    </row>
    <row r="411" spans="2:11" ht="17" x14ac:dyDescent="0.2">
      <c r="B411" s="335" t="s">
        <v>1178</v>
      </c>
      <c r="C411" s="38" t="s">
        <v>551</v>
      </c>
      <c r="D411" s="166" t="s">
        <v>965</v>
      </c>
      <c r="E411" s="163">
        <v>2.9139999999999999E-2</v>
      </c>
      <c r="F411" s="163">
        <v>2.5340000000000001E-2</v>
      </c>
      <c r="G411" s="270">
        <v>0.25009999999999999</v>
      </c>
      <c r="H411" s="163">
        <v>0.25590000000000002</v>
      </c>
      <c r="I411" s="163">
        <v>3.0110000000000001E-2</v>
      </c>
      <c r="J411" s="31" t="b">
        <v>0</v>
      </c>
      <c r="K411" s="32" t="b">
        <v>0</v>
      </c>
    </row>
    <row r="412" spans="2:11" ht="17" x14ac:dyDescent="0.2">
      <c r="B412" s="335" t="s">
        <v>1179</v>
      </c>
      <c r="C412" s="38" t="s">
        <v>551</v>
      </c>
      <c r="D412" s="166" t="s">
        <v>965</v>
      </c>
      <c r="E412" s="163">
        <v>2.9139999999999999E-2</v>
      </c>
      <c r="F412" s="163">
        <v>2.5340000000000001E-2</v>
      </c>
      <c r="G412" s="270">
        <v>0.25019999999999998</v>
      </c>
      <c r="H412" s="163">
        <v>0.25590000000000002</v>
      </c>
      <c r="I412" s="163">
        <v>3.0110000000000001E-2</v>
      </c>
      <c r="J412" s="31" t="b">
        <v>0</v>
      </c>
      <c r="K412" s="32" t="b">
        <v>0</v>
      </c>
    </row>
    <row r="413" spans="2:11" ht="17" x14ac:dyDescent="0.2">
      <c r="B413" s="335" t="s">
        <v>1177</v>
      </c>
      <c r="C413" s="38" t="s">
        <v>551</v>
      </c>
      <c r="D413" s="166" t="s">
        <v>965</v>
      </c>
      <c r="E413" s="163">
        <v>2.9090000000000001E-2</v>
      </c>
      <c r="F413" s="163">
        <v>2.6710000000000001E-2</v>
      </c>
      <c r="G413" s="270">
        <v>0.2762</v>
      </c>
      <c r="H413" s="163">
        <v>0.2389</v>
      </c>
      <c r="I413" s="163">
        <v>2.8479999999999998E-2</v>
      </c>
      <c r="J413" s="31" t="b">
        <v>0</v>
      </c>
      <c r="K413" s="32" t="b">
        <v>0</v>
      </c>
    </row>
    <row r="414" spans="2:11" ht="17" x14ac:dyDescent="0.2">
      <c r="B414" s="335" t="s">
        <v>1176</v>
      </c>
      <c r="C414" s="38" t="s">
        <v>551</v>
      </c>
      <c r="D414" s="166" t="s">
        <v>965</v>
      </c>
      <c r="E414" s="163">
        <v>2.742E-2</v>
      </c>
      <c r="F414" s="163">
        <v>2.9139999999999999E-2</v>
      </c>
      <c r="G414" s="270">
        <v>0.34670000000000001</v>
      </c>
      <c r="H414" s="163">
        <v>0.17100000000000001</v>
      </c>
      <c r="I414" s="163">
        <v>1.7760000000000001E-2</v>
      </c>
      <c r="J414" s="31" t="b">
        <v>0</v>
      </c>
      <c r="K414" s="32" t="b">
        <v>0</v>
      </c>
    </row>
    <row r="415" spans="2:11" ht="17" x14ac:dyDescent="0.2">
      <c r="B415" s="335" t="s">
        <v>1175</v>
      </c>
      <c r="C415" s="38" t="s">
        <v>551</v>
      </c>
      <c r="D415" s="166" t="s">
        <v>961</v>
      </c>
      <c r="E415" s="163">
        <v>2.649E-2</v>
      </c>
      <c r="F415" s="163">
        <v>8.8080000000000006E-2</v>
      </c>
      <c r="G415" s="270">
        <v>0.76359999999999995</v>
      </c>
      <c r="H415" s="163">
        <v>3.1570000000000001E-3</v>
      </c>
      <c r="I415" s="163">
        <v>1.281E-3</v>
      </c>
      <c r="J415" s="31" t="b">
        <v>0</v>
      </c>
      <c r="K415" s="32" t="b">
        <v>0</v>
      </c>
    </row>
    <row r="416" spans="2:11" ht="17" x14ac:dyDescent="0.2">
      <c r="B416" s="335" t="s">
        <v>1174</v>
      </c>
      <c r="C416" s="38" t="s">
        <v>551</v>
      </c>
      <c r="D416" s="166" t="s">
        <v>965</v>
      </c>
      <c r="E416" s="163">
        <v>2.6089999999999999E-2</v>
      </c>
      <c r="F416" s="163">
        <v>2.4219999999999998E-2</v>
      </c>
      <c r="G416" s="270">
        <v>0.28139999999999998</v>
      </c>
      <c r="H416" s="163">
        <v>0.2485</v>
      </c>
      <c r="I416" s="163">
        <v>2.368E-2</v>
      </c>
      <c r="J416" s="31" t="b">
        <v>0</v>
      </c>
      <c r="K416" s="32" t="b">
        <v>0</v>
      </c>
    </row>
    <row r="417" spans="2:11" ht="17" x14ac:dyDescent="0.2">
      <c r="B417" s="335" t="s">
        <v>1173</v>
      </c>
      <c r="C417" s="38" t="s">
        <v>551</v>
      </c>
      <c r="D417" s="166" t="s">
        <v>961</v>
      </c>
      <c r="E417" s="163">
        <v>2.5360000000000001E-2</v>
      </c>
      <c r="F417" s="163">
        <v>3.1009999999999999E-2</v>
      </c>
      <c r="G417" s="270">
        <v>0.41360000000000002</v>
      </c>
      <c r="H417" s="163">
        <v>4.3479999999999998E-2</v>
      </c>
      <c r="I417" s="163">
        <v>2.6670000000000001E-3</v>
      </c>
      <c r="J417" s="31" t="b">
        <v>0</v>
      </c>
      <c r="K417" s="32" t="b">
        <v>0</v>
      </c>
    </row>
    <row r="418" spans="2:11" ht="17" x14ac:dyDescent="0.2">
      <c r="B418" s="335" t="s">
        <v>1172</v>
      </c>
      <c r="C418" s="38" t="s">
        <v>551</v>
      </c>
      <c r="D418" s="166" t="s">
        <v>965</v>
      </c>
      <c r="E418" s="163">
        <v>2.5329999999999998E-2</v>
      </c>
      <c r="F418" s="163">
        <v>2.4199999999999999E-2</v>
      </c>
      <c r="G418" s="270">
        <v>0.29520000000000002</v>
      </c>
      <c r="H418" s="163">
        <v>0.24560000000000001</v>
      </c>
      <c r="I418" s="163">
        <v>2.3460000000000002E-2</v>
      </c>
      <c r="J418" s="31" t="b">
        <v>0</v>
      </c>
      <c r="K418" s="32" t="b">
        <v>0</v>
      </c>
    </row>
    <row r="419" spans="2:11" ht="17" x14ac:dyDescent="0.2">
      <c r="B419" s="335" t="s">
        <v>1171</v>
      </c>
      <c r="C419" s="38" t="s">
        <v>551</v>
      </c>
      <c r="D419" s="166" t="s">
        <v>961</v>
      </c>
      <c r="E419" s="163">
        <v>2.4649999999999998E-2</v>
      </c>
      <c r="F419" s="163">
        <v>9.2299999999999993E-2</v>
      </c>
      <c r="G419" s="270">
        <v>0.78939999999999999</v>
      </c>
      <c r="H419" s="163">
        <v>2.6970000000000002E-3</v>
      </c>
      <c r="I419" s="163">
        <v>1.1850000000000001E-3</v>
      </c>
      <c r="J419" s="31" t="b">
        <v>0</v>
      </c>
      <c r="K419" s="32" t="b">
        <v>0</v>
      </c>
    </row>
    <row r="420" spans="2:11" ht="17" x14ac:dyDescent="0.2">
      <c r="B420" s="335" t="s">
        <v>1170</v>
      </c>
      <c r="C420" s="38" t="s">
        <v>1037</v>
      </c>
      <c r="D420" s="166" t="s">
        <v>965</v>
      </c>
      <c r="E420" s="163">
        <v>2.375E-2</v>
      </c>
      <c r="F420" s="163">
        <v>5.5039999999999999E-2</v>
      </c>
      <c r="G420" s="270">
        <v>0.66600000000000004</v>
      </c>
      <c r="H420" s="163">
        <v>0.17549999999999999</v>
      </c>
      <c r="I420" s="163">
        <v>2.017E-2</v>
      </c>
      <c r="J420" s="31" t="b">
        <v>0</v>
      </c>
      <c r="K420" s="32" t="b">
        <v>0</v>
      </c>
    </row>
    <row r="421" spans="2:11" ht="17" x14ac:dyDescent="0.2">
      <c r="B421" s="335" t="s">
        <v>1169</v>
      </c>
      <c r="C421" s="38" t="s">
        <v>551</v>
      </c>
      <c r="D421" s="166" t="s">
        <v>961</v>
      </c>
      <c r="E421" s="163">
        <v>2.3349999999999999E-2</v>
      </c>
      <c r="F421" s="163">
        <v>6.7659999999999998E-2</v>
      </c>
      <c r="G421" s="270">
        <v>0.73</v>
      </c>
      <c r="H421" s="163">
        <v>5.2509999999999996E-3</v>
      </c>
      <c r="I421" s="163">
        <v>1.6410000000000001E-3</v>
      </c>
      <c r="J421" s="31" t="b">
        <v>0</v>
      </c>
      <c r="K421" s="32" t="b">
        <v>0</v>
      </c>
    </row>
    <row r="422" spans="2:11" ht="34" x14ac:dyDescent="0.2">
      <c r="B422" s="335" t="s">
        <v>1168</v>
      </c>
      <c r="C422" s="38" t="s">
        <v>551</v>
      </c>
      <c r="D422" s="166" t="s">
        <v>961</v>
      </c>
      <c r="E422" s="163">
        <v>2.2349999999999998E-2</v>
      </c>
      <c r="F422" s="163">
        <v>0.1008</v>
      </c>
      <c r="G422" s="270">
        <v>0.82450000000000001</v>
      </c>
      <c r="H422" s="163">
        <v>7.077E-3</v>
      </c>
      <c r="I422" s="163">
        <v>3.6709999999999998E-3</v>
      </c>
      <c r="J422" s="31" t="b">
        <v>0</v>
      </c>
      <c r="K422" s="32" t="b">
        <v>0</v>
      </c>
    </row>
    <row r="423" spans="2:11" ht="17" x14ac:dyDescent="0.2">
      <c r="B423" s="335" t="s">
        <v>1167</v>
      </c>
      <c r="C423" s="38" t="s">
        <v>551</v>
      </c>
      <c r="D423" s="166" t="s">
        <v>961</v>
      </c>
      <c r="E423" s="163">
        <v>2.1940000000000001E-2</v>
      </c>
      <c r="F423" s="163">
        <v>6.4600000000000005E-2</v>
      </c>
      <c r="G423" s="270">
        <v>0.73409999999999997</v>
      </c>
      <c r="H423" s="163">
        <v>5.6829999999999997E-3</v>
      </c>
      <c r="I423" s="163">
        <v>1.477E-3</v>
      </c>
      <c r="J423" s="31" t="b">
        <v>0</v>
      </c>
      <c r="K423" s="32" t="b">
        <v>0</v>
      </c>
    </row>
    <row r="424" spans="2:11" ht="17" x14ac:dyDescent="0.2">
      <c r="B424" s="335" t="s">
        <v>1166</v>
      </c>
      <c r="C424" s="38" t="s">
        <v>551</v>
      </c>
      <c r="D424" s="166" t="s">
        <v>961</v>
      </c>
      <c r="E424" s="163">
        <v>2.1870000000000001E-2</v>
      </c>
      <c r="F424" s="163">
        <v>8.8249999999999995E-2</v>
      </c>
      <c r="G424" s="270">
        <v>0.80420000000000003</v>
      </c>
      <c r="H424" s="163">
        <v>3.078E-3</v>
      </c>
      <c r="I424" s="163">
        <v>1.3370000000000001E-3</v>
      </c>
      <c r="J424" s="31" t="b">
        <v>0</v>
      </c>
      <c r="K424" s="32" t="b">
        <v>0</v>
      </c>
    </row>
    <row r="425" spans="2:11" ht="17" x14ac:dyDescent="0.2">
      <c r="B425" s="335" t="s">
        <v>1164</v>
      </c>
      <c r="C425" s="38" t="s">
        <v>551</v>
      </c>
      <c r="D425" s="166" t="s">
        <v>965</v>
      </c>
      <c r="E425" s="163">
        <v>2.0840000000000001E-2</v>
      </c>
      <c r="F425" s="163">
        <v>2.4809999999999999E-2</v>
      </c>
      <c r="G425" s="270">
        <v>0.40089999999999998</v>
      </c>
      <c r="H425" s="163">
        <v>0.26140000000000002</v>
      </c>
      <c r="I425" s="163">
        <v>3.1019999999999999E-2</v>
      </c>
      <c r="J425" s="31" t="b">
        <v>0</v>
      </c>
      <c r="K425" s="32" t="b">
        <v>0</v>
      </c>
    </row>
    <row r="426" spans="2:11" ht="17" x14ac:dyDescent="0.2">
      <c r="B426" s="335" t="s">
        <v>1165</v>
      </c>
      <c r="C426" s="38" t="s">
        <v>551</v>
      </c>
      <c r="D426" s="166" t="s">
        <v>965</v>
      </c>
      <c r="E426" s="163">
        <v>2.0840000000000001E-2</v>
      </c>
      <c r="F426" s="163">
        <v>2.4809999999999999E-2</v>
      </c>
      <c r="G426" s="270">
        <v>0.40089999999999998</v>
      </c>
      <c r="H426" s="163">
        <v>0.26140000000000002</v>
      </c>
      <c r="I426" s="163">
        <v>3.1019999999999999E-2</v>
      </c>
      <c r="J426" s="31" t="b">
        <v>0</v>
      </c>
      <c r="K426" s="32" t="b">
        <v>0</v>
      </c>
    </row>
    <row r="427" spans="2:11" ht="34" x14ac:dyDescent="0.2">
      <c r="B427" s="335" t="s">
        <v>1163</v>
      </c>
      <c r="C427" s="38" t="s">
        <v>551</v>
      </c>
      <c r="D427" s="166" t="s">
        <v>961</v>
      </c>
      <c r="E427" s="163">
        <v>2.0320000000000001E-2</v>
      </c>
      <c r="F427" s="163">
        <v>6.4899999999999999E-2</v>
      </c>
      <c r="G427" s="270">
        <v>0.75419999999999998</v>
      </c>
      <c r="H427" s="163">
        <v>6.7559999999999999E-3</v>
      </c>
      <c r="I427" s="163">
        <v>1.495E-3</v>
      </c>
      <c r="J427" s="31" t="b">
        <v>0</v>
      </c>
      <c r="K427" s="32" t="b">
        <v>0</v>
      </c>
    </row>
    <row r="428" spans="2:11" ht="17" x14ac:dyDescent="0.2">
      <c r="B428" s="335" t="s">
        <v>1162</v>
      </c>
      <c r="C428" s="38" t="s">
        <v>551</v>
      </c>
      <c r="D428" s="166" t="s">
        <v>965</v>
      </c>
      <c r="E428" s="163">
        <v>2.0109999999999999E-2</v>
      </c>
      <c r="F428" s="163">
        <v>3.0200000000000001E-2</v>
      </c>
      <c r="G428" s="270">
        <v>0.50560000000000005</v>
      </c>
      <c r="H428" s="163">
        <v>0.19120000000000001</v>
      </c>
      <c r="I428" s="163">
        <v>1.49E-2</v>
      </c>
      <c r="J428" s="31" t="b">
        <v>0</v>
      </c>
      <c r="K428" s="32" t="b">
        <v>0</v>
      </c>
    </row>
    <row r="429" spans="2:11" ht="17" x14ac:dyDescent="0.2">
      <c r="B429" s="335" t="s">
        <v>1161</v>
      </c>
      <c r="C429" s="38" t="s">
        <v>551</v>
      </c>
      <c r="D429" s="166" t="s">
        <v>965</v>
      </c>
      <c r="E429" s="163">
        <v>1.993E-2</v>
      </c>
      <c r="F429" s="163">
        <v>2.469E-2</v>
      </c>
      <c r="G429" s="270">
        <v>0.41970000000000002</v>
      </c>
      <c r="H429" s="163">
        <v>0.26450000000000001</v>
      </c>
      <c r="I429" s="163">
        <v>3.1539999999999999E-2</v>
      </c>
      <c r="J429" s="31" t="b">
        <v>0</v>
      </c>
      <c r="K429" s="32" t="b">
        <v>0</v>
      </c>
    </row>
    <row r="430" spans="2:11" ht="17" x14ac:dyDescent="0.2">
      <c r="B430" s="335" t="s">
        <v>1160</v>
      </c>
      <c r="C430" s="38" t="s">
        <v>551</v>
      </c>
      <c r="D430" s="166" t="s">
        <v>961</v>
      </c>
      <c r="E430" s="163">
        <v>1.9689999999999999E-2</v>
      </c>
      <c r="F430" s="163">
        <v>3.9190000000000003E-2</v>
      </c>
      <c r="G430" s="270">
        <v>0.61539999999999995</v>
      </c>
      <c r="H430" s="163">
        <v>1.4E-2</v>
      </c>
      <c r="I430" s="163">
        <v>1.7129999999999999E-3</v>
      </c>
      <c r="J430" s="31" t="b">
        <v>0</v>
      </c>
      <c r="K430" s="32" t="b">
        <v>0</v>
      </c>
    </row>
    <row r="431" spans="2:11" ht="17" x14ac:dyDescent="0.2">
      <c r="B431" s="335" t="s">
        <v>1159</v>
      </c>
      <c r="C431" s="38" t="s">
        <v>551</v>
      </c>
      <c r="D431" s="166" t="s">
        <v>965</v>
      </c>
      <c r="E431" s="163">
        <v>1.9230000000000001E-2</v>
      </c>
      <c r="F431" s="163">
        <v>5.0700000000000002E-2</v>
      </c>
      <c r="G431" s="270">
        <v>0.70440000000000003</v>
      </c>
      <c r="H431" s="163">
        <v>7.0379999999999998E-2</v>
      </c>
      <c r="I431" s="163">
        <v>8.2990000000000008E-3</v>
      </c>
      <c r="J431" s="31" t="b">
        <v>0</v>
      </c>
      <c r="K431" s="32" t="b">
        <v>0</v>
      </c>
    </row>
    <row r="432" spans="2:11" ht="17" x14ac:dyDescent="0.2">
      <c r="B432" s="335" t="s">
        <v>1158</v>
      </c>
      <c r="C432" s="38" t="s">
        <v>551</v>
      </c>
      <c r="D432" s="166" t="s">
        <v>961</v>
      </c>
      <c r="E432" s="163">
        <v>1.8429999999999998E-2</v>
      </c>
      <c r="F432" s="163">
        <v>7.0419999999999996E-2</v>
      </c>
      <c r="G432" s="270">
        <v>0.79349999999999998</v>
      </c>
      <c r="H432" s="163">
        <v>6.3969999999999999E-3</v>
      </c>
      <c r="I432" s="163">
        <v>1.4920000000000001E-3</v>
      </c>
      <c r="J432" s="31" t="b">
        <v>0</v>
      </c>
      <c r="K432" s="32" t="b">
        <v>0</v>
      </c>
    </row>
    <row r="433" spans="2:11" ht="17" x14ac:dyDescent="0.2">
      <c r="B433" s="335" t="s">
        <v>1157</v>
      </c>
      <c r="C433" s="38" t="s">
        <v>1037</v>
      </c>
      <c r="D433" s="166" t="s">
        <v>965</v>
      </c>
      <c r="E433" s="163">
        <v>1.627E-2</v>
      </c>
      <c r="F433" s="163">
        <v>3.5499999999999997E-2</v>
      </c>
      <c r="G433" s="270">
        <v>0.64670000000000005</v>
      </c>
      <c r="H433" s="163">
        <v>0.13170000000000001</v>
      </c>
      <c r="I433" s="163">
        <v>1.285E-2</v>
      </c>
      <c r="J433" s="31" t="b">
        <v>0</v>
      </c>
      <c r="K433" s="32" t="b">
        <v>0</v>
      </c>
    </row>
    <row r="434" spans="2:11" ht="17" x14ac:dyDescent="0.2">
      <c r="B434" s="335" t="s">
        <v>1156</v>
      </c>
      <c r="C434" s="38" t="s">
        <v>551</v>
      </c>
      <c r="D434" s="166" t="s">
        <v>965</v>
      </c>
      <c r="E434" s="163">
        <v>1.6140000000000002E-2</v>
      </c>
      <c r="F434" s="163">
        <v>2.9059999999999999E-2</v>
      </c>
      <c r="G434" s="270">
        <v>0.57850000000000001</v>
      </c>
      <c r="H434" s="163">
        <v>0.26750000000000002</v>
      </c>
      <c r="I434" s="163">
        <v>3.1119999999999998E-2</v>
      </c>
      <c r="J434" s="31" t="b">
        <v>0</v>
      </c>
      <c r="K434" s="32" t="b">
        <v>0</v>
      </c>
    </row>
    <row r="435" spans="2:11" ht="17" x14ac:dyDescent="0.2">
      <c r="B435" s="335" t="s">
        <v>1155</v>
      </c>
      <c r="C435" s="38" t="s">
        <v>1037</v>
      </c>
      <c r="D435" s="166" t="s">
        <v>965</v>
      </c>
      <c r="E435" s="163">
        <v>1.5810000000000001E-2</v>
      </c>
      <c r="F435" s="163">
        <v>3.5979999999999998E-2</v>
      </c>
      <c r="G435" s="270">
        <v>0.66039999999999999</v>
      </c>
      <c r="H435" s="163">
        <v>0.1305</v>
      </c>
      <c r="I435" s="163">
        <v>1.192E-2</v>
      </c>
      <c r="J435" s="31" t="b">
        <v>0</v>
      </c>
      <c r="K435" s="32" t="b">
        <v>0</v>
      </c>
    </row>
    <row r="436" spans="2:11" ht="17" x14ac:dyDescent="0.2">
      <c r="B436" s="335" t="s">
        <v>1154</v>
      </c>
      <c r="C436" s="38" t="s">
        <v>551</v>
      </c>
      <c r="D436" s="166" t="s">
        <v>965</v>
      </c>
      <c r="E436" s="163">
        <v>1.5520000000000001E-2</v>
      </c>
      <c r="F436" s="163">
        <v>4.5530000000000001E-2</v>
      </c>
      <c r="G436" s="270">
        <v>0.73319999999999996</v>
      </c>
      <c r="H436" s="163">
        <v>8.0549999999999997E-2</v>
      </c>
      <c r="I436" s="163">
        <v>7.7910000000000002E-3</v>
      </c>
      <c r="J436" s="31" t="b">
        <v>0</v>
      </c>
      <c r="K436" s="32" t="b">
        <v>0</v>
      </c>
    </row>
    <row r="437" spans="2:11" ht="17" x14ac:dyDescent="0.2">
      <c r="B437" s="335" t="s">
        <v>1153</v>
      </c>
      <c r="C437" s="38" t="s">
        <v>551</v>
      </c>
      <c r="D437" s="166" t="s">
        <v>961</v>
      </c>
      <c r="E437" s="163">
        <v>1.5480000000000001E-2</v>
      </c>
      <c r="F437" s="163">
        <v>7.263E-2</v>
      </c>
      <c r="G437" s="270">
        <v>0.83120000000000005</v>
      </c>
      <c r="H437" s="163">
        <v>5.3860000000000002E-3</v>
      </c>
      <c r="I437" s="163">
        <v>1.4270000000000001E-3</v>
      </c>
      <c r="J437" s="31" t="b">
        <v>0</v>
      </c>
      <c r="K437" s="32" t="b">
        <v>0</v>
      </c>
    </row>
    <row r="438" spans="2:11" ht="17" x14ac:dyDescent="0.2">
      <c r="B438" s="335" t="s">
        <v>1152</v>
      </c>
      <c r="C438" s="38" t="s">
        <v>1037</v>
      </c>
      <c r="D438" s="166" t="s">
        <v>965</v>
      </c>
      <c r="E438" s="163">
        <v>1.54E-2</v>
      </c>
      <c r="F438" s="163">
        <v>5.8860000000000003E-2</v>
      </c>
      <c r="G438" s="270">
        <v>0.79359999999999997</v>
      </c>
      <c r="H438" s="163">
        <v>0.1807</v>
      </c>
      <c r="I438" s="163">
        <v>2.172E-2</v>
      </c>
      <c r="J438" s="31" t="b">
        <v>0</v>
      </c>
      <c r="K438" s="32" t="b">
        <v>0</v>
      </c>
    </row>
    <row r="439" spans="2:11" ht="17" x14ac:dyDescent="0.2">
      <c r="B439" s="335" t="s">
        <v>1151</v>
      </c>
      <c r="C439" s="38" t="s">
        <v>551</v>
      </c>
      <c r="D439" s="166" t="s">
        <v>961</v>
      </c>
      <c r="E439" s="163">
        <v>1.495E-2</v>
      </c>
      <c r="F439" s="163">
        <v>8.2650000000000001E-2</v>
      </c>
      <c r="G439" s="270">
        <v>0.85650000000000004</v>
      </c>
      <c r="H439" s="163">
        <v>3.6319999999999998E-3</v>
      </c>
      <c r="I439" s="163">
        <v>1.1670000000000001E-3</v>
      </c>
      <c r="J439" s="31" t="b">
        <v>0</v>
      </c>
      <c r="K439" s="32" t="b">
        <v>0</v>
      </c>
    </row>
    <row r="440" spans="2:11" ht="17" x14ac:dyDescent="0.2">
      <c r="B440" s="335" t="s">
        <v>1149</v>
      </c>
      <c r="C440" s="38" t="s">
        <v>551</v>
      </c>
      <c r="D440" s="166" t="s">
        <v>961</v>
      </c>
      <c r="E440" s="163">
        <v>1.4239999999999999E-2</v>
      </c>
      <c r="F440" s="163">
        <v>4.7489999999999997E-2</v>
      </c>
      <c r="G440" s="270">
        <v>0.76419999999999999</v>
      </c>
      <c r="H440" s="163">
        <v>1.2619999999999999E-2</v>
      </c>
      <c r="I440" s="163">
        <v>1.5039999999999999E-3</v>
      </c>
      <c r="J440" s="31" t="b">
        <v>0</v>
      </c>
      <c r="K440" s="32" t="b">
        <v>0</v>
      </c>
    </row>
    <row r="441" spans="2:11" ht="34" x14ac:dyDescent="0.2">
      <c r="B441" s="335" t="s">
        <v>1148</v>
      </c>
      <c r="C441" s="38" t="s">
        <v>551</v>
      </c>
      <c r="D441" s="166" t="s">
        <v>961</v>
      </c>
      <c r="E441" s="163">
        <v>1.401E-2</v>
      </c>
      <c r="F441" s="163">
        <v>4.4350000000000001E-2</v>
      </c>
      <c r="G441" s="270">
        <v>0.752</v>
      </c>
      <c r="H441" s="163">
        <v>1.455E-2</v>
      </c>
      <c r="I441" s="163">
        <v>1.4519999999999999E-3</v>
      </c>
      <c r="J441" s="31" t="b">
        <v>0</v>
      </c>
      <c r="K441" s="32" t="b">
        <v>0</v>
      </c>
    </row>
    <row r="442" spans="2:11" ht="17" x14ac:dyDescent="0.2">
      <c r="B442" s="335" t="s">
        <v>1147</v>
      </c>
      <c r="C442" s="38" t="s">
        <v>551</v>
      </c>
      <c r="D442" s="166" t="s">
        <v>965</v>
      </c>
      <c r="E442" s="163">
        <v>1.4E-2</v>
      </c>
      <c r="F442" s="163">
        <v>3.2379999999999999E-2</v>
      </c>
      <c r="G442" s="270">
        <v>0.66549999999999998</v>
      </c>
      <c r="H442" s="163">
        <v>0.17050000000000001</v>
      </c>
      <c r="I442" s="163">
        <v>1.2330000000000001E-2</v>
      </c>
      <c r="J442" s="31" t="b">
        <v>0</v>
      </c>
      <c r="K442" s="32" t="b">
        <v>0</v>
      </c>
    </row>
    <row r="443" spans="2:11" ht="17" x14ac:dyDescent="0.2">
      <c r="B443" s="335" t="s">
        <v>1146</v>
      </c>
      <c r="C443" s="38" t="s">
        <v>551</v>
      </c>
      <c r="D443" s="166" t="s">
        <v>965</v>
      </c>
      <c r="E443" s="163">
        <v>1.285E-2</v>
      </c>
      <c r="F443" s="163">
        <v>5.6189999999999997E-2</v>
      </c>
      <c r="G443" s="270">
        <v>0.81899999999999995</v>
      </c>
      <c r="H443" s="163">
        <v>4.3069999999999997E-2</v>
      </c>
      <c r="I443" s="163">
        <v>7.3410000000000003E-3</v>
      </c>
      <c r="J443" s="31" t="b">
        <v>0</v>
      </c>
      <c r="K443" s="32" t="b">
        <v>0</v>
      </c>
    </row>
    <row r="444" spans="2:11" ht="17" x14ac:dyDescent="0.2">
      <c r="B444" s="335" t="s">
        <v>1145</v>
      </c>
      <c r="C444" s="38" t="s">
        <v>551</v>
      </c>
      <c r="D444" s="166" t="s">
        <v>961</v>
      </c>
      <c r="E444" s="163">
        <v>1.259E-2</v>
      </c>
      <c r="F444" s="163">
        <v>7.8380000000000005E-2</v>
      </c>
      <c r="G444" s="270">
        <v>0.87239999999999995</v>
      </c>
      <c r="H444" s="163">
        <v>3.5079999999999998E-3</v>
      </c>
      <c r="I444" s="163">
        <v>1.456E-3</v>
      </c>
      <c r="J444" s="31" t="b">
        <v>0</v>
      </c>
      <c r="K444" s="32" t="b">
        <v>0</v>
      </c>
    </row>
    <row r="445" spans="2:11" ht="17" x14ac:dyDescent="0.2">
      <c r="B445" s="335" t="s">
        <v>1144</v>
      </c>
      <c r="C445" s="38" t="s">
        <v>1037</v>
      </c>
      <c r="D445" s="166" t="s">
        <v>965</v>
      </c>
      <c r="E445" s="163">
        <v>1.192E-2</v>
      </c>
      <c r="F445" s="163">
        <v>5.3800000000000001E-2</v>
      </c>
      <c r="G445" s="270">
        <v>0.82469999999999999</v>
      </c>
      <c r="H445" s="163">
        <v>0.17</v>
      </c>
      <c r="I445" s="163">
        <v>1.916E-2</v>
      </c>
      <c r="J445" s="31" t="b">
        <v>0</v>
      </c>
      <c r="K445" s="32" t="b">
        <v>0</v>
      </c>
    </row>
    <row r="446" spans="2:11" ht="17" x14ac:dyDescent="0.2">
      <c r="B446" s="335" t="s">
        <v>1143</v>
      </c>
      <c r="C446" s="38" t="s">
        <v>551</v>
      </c>
      <c r="D446" s="166" t="s">
        <v>965</v>
      </c>
      <c r="E446" s="163">
        <v>1.1560000000000001E-2</v>
      </c>
      <c r="F446" s="163">
        <v>3.0439999999999998E-2</v>
      </c>
      <c r="G446" s="270">
        <v>0.70420000000000005</v>
      </c>
      <c r="H446" s="163">
        <v>9.8049999999999998E-2</v>
      </c>
      <c r="I446" s="163">
        <v>5.5290000000000001E-3</v>
      </c>
      <c r="J446" s="31" t="b">
        <v>0</v>
      </c>
      <c r="K446" s="32" t="b">
        <v>0</v>
      </c>
    </row>
    <row r="447" spans="2:11" ht="17" x14ac:dyDescent="0.2">
      <c r="B447" s="335" t="s">
        <v>1142</v>
      </c>
      <c r="C447" s="38" t="s">
        <v>1037</v>
      </c>
      <c r="D447" s="166" t="s">
        <v>965</v>
      </c>
      <c r="E447" s="163">
        <v>1.155E-2</v>
      </c>
      <c r="F447" s="163">
        <v>6.053E-2</v>
      </c>
      <c r="G447" s="270">
        <v>0.84860000000000002</v>
      </c>
      <c r="H447" s="163">
        <v>0.17180000000000001</v>
      </c>
      <c r="I447" s="163">
        <v>2.036E-2</v>
      </c>
      <c r="J447" s="31" t="b">
        <v>0</v>
      </c>
      <c r="K447" s="32" t="b">
        <v>0</v>
      </c>
    </row>
    <row r="448" spans="2:11" ht="17" x14ac:dyDescent="0.2">
      <c r="B448" s="335" t="s">
        <v>1140</v>
      </c>
      <c r="C448" s="38" t="s">
        <v>551</v>
      </c>
      <c r="D448" s="166" t="s">
        <v>961</v>
      </c>
      <c r="E448" s="163">
        <v>1.005E-2</v>
      </c>
      <c r="F448" s="163">
        <v>0.105</v>
      </c>
      <c r="G448" s="270">
        <v>0.92379999999999995</v>
      </c>
      <c r="H448" s="163">
        <v>2.653E-3</v>
      </c>
      <c r="I448" s="163">
        <v>1.2440000000000001E-3</v>
      </c>
      <c r="J448" s="31" t="b">
        <v>0</v>
      </c>
      <c r="K448" s="32" t="b">
        <v>0</v>
      </c>
    </row>
    <row r="449" spans="2:11" ht="17" x14ac:dyDescent="0.2">
      <c r="B449" s="335" t="s">
        <v>1141</v>
      </c>
      <c r="C449" s="38" t="s">
        <v>551</v>
      </c>
      <c r="D449" s="166" t="s">
        <v>961</v>
      </c>
      <c r="E449" s="163">
        <v>1.005E-2</v>
      </c>
      <c r="F449" s="163">
        <v>0.105</v>
      </c>
      <c r="G449" s="270">
        <v>0.92379999999999995</v>
      </c>
      <c r="H449" s="163">
        <v>2.653E-3</v>
      </c>
      <c r="I449" s="163">
        <v>1.2440000000000001E-3</v>
      </c>
      <c r="J449" s="31" t="b">
        <v>0</v>
      </c>
      <c r="K449" s="32" t="b">
        <v>0</v>
      </c>
    </row>
    <row r="450" spans="2:11" ht="17" x14ac:dyDescent="0.2">
      <c r="B450" s="335" t="s">
        <v>1139</v>
      </c>
      <c r="C450" s="38" t="s">
        <v>551</v>
      </c>
      <c r="D450" s="166" t="s">
        <v>965</v>
      </c>
      <c r="E450" s="163">
        <v>8.5199999999999998E-3</v>
      </c>
      <c r="F450" s="163">
        <v>6.7290000000000003E-2</v>
      </c>
      <c r="G450" s="270">
        <v>0.8992</v>
      </c>
      <c r="H450" s="163">
        <v>2.5219999999999999E-2</v>
      </c>
      <c r="I450" s="163">
        <v>5.7670000000000004E-3</v>
      </c>
      <c r="J450" s="31" t="b">
        <v>0</v>
      </c>
      <c r="K450" s="32" t="b">
        <v>0</v>
      </c>
    </row>
    <row r="451" spans="2:11" ht="17" x14ac:dyDescent="0.2">
      <c r="B451" s="335" t="s">
        <v>1138</v>
      </c>
      <c r="C451" s="38" t="s">
        <v>551</v>
      </c>
      <c r="D451" s="166" t="s">
        <v>961</v>
      </c>
      <c r="E451" s="163">
        <v>7.8740000000000008E-3</v>
      </c>
      <c r="F451" s="163">
        <v>9.2050000000000007E-2</v>
      </c>
      <c r="G451" s="270">
        <v>0.93179999999999996</v>
      </c>
      <c r="H451" s="163">
        <v>2.6519999999999998E-3</v>
      </c>
      <c r="I451" s="163">
        <v>1.3389999999999999E-3</v>
      </c>
      <c r="J451" s="31" t="b">
        <v>0</v>
      </c>
      <c r="K451" s="32" t="b">
        <v>0</v>
      </c>
    </row>
    <row r="452" spans="2:11" ht="17" x14ac:dyDescent="0.2">
      <c r="B452" s="335" t="s">
        <v>1137</v>
      </c>
      <c r="C452" s="38" t="s">
        <v>551</v>
      </c>
      <c r="D452" s="166" t="s">
        <v>961</v>
      </c>
      <c r="E452" s="163">
        <v>6.8479999999999999E-3</v>
      </c>
      <c r="F452" s="163">
        <v>8.0949999999999994E-2</v>
      </c>
      <c r="G452" s="270">
        <v>0.93259999999999998</v>
      </c>
      <c r="H452" s="163">
        <v>4.1929999999999997E-3</v>
      </c>
      <c r="I452" s="163">
        <v>1.2080000000000001E-3</v>
      </c>
      <c r="J452" s="31" t="b">
        <v>0</v>
      </c>
      <c r="K452" s="32" t="b">
        <v>0</v>
      </c>
    </row>
    <row r="453" spans="2:11" ht="17" x14ac:dyDescent="0.2">
      <c r="B453" s="335" t="s">
        <v>1136</v>
      </c>
      <c r="C453" s="38" t="s">
        <v>551</v>
      </c>
      <c r="D453" s="166" t="s">
        <v>965</v>
      </c>
      <c r="E453" s="163">
        <v>6.4330000000000003E-3</v>
      </c>
      <c r="F453" s="163">
        <v>8.0920000000000006E-2</v>
      </c>
      <c r="G453" s="270">
        <v>0.93659999999999999</v>
      </c>
      <c r="H453" s="163">
        <v>2.946E-2</v>
      </c>
      <c r="I453" s="163">
        <v>9.3290000000000005E-3</v>
      </c>
      <c r="J453" s="31" t="b">
        <v>0</v>
      </c>
      <c r="K453" s="32" t="b">
        <v>0</v>
      </c>
    </row>
    <row r="454" spans="2:11" ht="17" x14ac:dyDescent="0.2">
      <c r="B454" s="335" t="s">
        <v>1135</v>
      </c>
      <c r="C454" s="38" t="s">
        <v>551</v>
      </c>
      <c r="D454" s="166" t="s">
        <v>965</v>
      </c>
      <c r="E454" s="163">
        <v>5.2189999999999997E-3</v>
      </c>
      <c r="F454" s="163">
        <v>8.3159999999999998E-2</v>
      </c>
      <c r="G454" s="270">
        <v>0.95</v>
      </c>
      <c r="H454" s="163">
        <v>3.4349999999999999E-2</v>
      </c>
      <c r="I454" s="163">
        <v>1.119E-2</v>
      </c>
      <c r="J454" s="31" t="b">
        <v>0</v>
      </c>
      <c r="K454" s="32" t="b">
        <v>0</v>
      </c>
    </row>
    <row r="455" spans="2:11" ht="17" x14ac:dyDescent="0.2">
      <c r="B455" s="335" t="s">
        <v>1134</v>
      </c>
      <c r="C455" s="38" t="s">
        <v>1037</v>
      </c>
      <c r="D455" s="166" t="s">
        <v>965</v>
      </c>
      <c r="E455" s="163">
        <v>4.627E-3</v>
      </c>
      <c r="F455" s="163">
        <v>3.0110000000000001E-2</v>
      </c>
      <c r="G455" s="270">
        <v>0.87790000000000001</v>
      </c>
      <c r="H455" s="163">
        <v>0.15970000000000001</v>
      </c>
      <c r="I455" s="163">
        <v>1.821E-2</v>
      </c>
      <c r="J455" s="31" t="b">
        <v>0</v>
      </c>
      <c r="K455" s="32" t="b">
        <v>0</v>
      </c>
    </row>
    <row r="456" spans="2:11" ht="17" x14ac:dyDescent="0.2">
      <c r="B456" s="335" t="s">
        <v>1133</v>
      </c>
      <c r="C456" s="38" t="s">
        <v>1037</v>
      </c>
      <c r="D456" s="166" t="s">
        <v>965</v>
      </c>
      <c r="E456" s="163">
        <v>3.3960000000000001E-3</v>
      </c>
      <c r="F456" s="163">
        <v>2.9790000000000001E-2</v>
      </c>
      <c r="G456" s="270">
        <v>0.90920000000000001</v>
      </c>
      <c r="H456" s="163">
        <v>0.15920000000000001</v>
      </c>
      <c r="I456" s="163">
        <v>1.8010000000000002E-2</v>
      </c>
      <c r="J456" s="31" t="b">
        <v>0</v>
      </c>
      <c r="K456" s="32" t="b">
        <v>0</v>
      </c>
    </row>
    <row r="457" spans="2:11" ht="17" x14ac:dyDescent="0.2">
      <c r="B457" s="335" t="s">
        <v>1132</v>
      </c>
      <c r="C457" s="38" t="s">
        <v>1037</v>
      </c>
      <c r="D457" s="166" t="s">
        <v>965</v>
      </c>
      <c r="E457" s="163">
        <v>2.3540000000000002E-3</v>
      </c>
      <c r="F457" s="163">
        <v>3.2140000000000002E-2</v>
      </c>
      <c r="G457" s="270">
        <v>0.94159999999999999</v>
      </c>
      <c r="H457" s="163">
        <v>9.2530000000000001E-2</v>
      </c>
      <c r="I457" s="163">
        <v>1.055E-2</v>
      </c>
      <c r="J457" s="31" t="b">
        <v>0</v>
      </c>
      <c r="K457" s="32" t="b">
        <v>0</v>
      </c>
    </row>
    <row r="458" spans="2:11" ht="17" x14ac:dyDescent="0.2">
      <c r="B458" s="335" t="s">
        <v>1131</v>
      </c>
      <c r="C458" s="38" t="s">
        <v>1037</v>
      </c>
      <c r="D458" s="166" t="s">
        <v>965</v>
      </c>
      <c r="E458" s="163">
        <v>1.9659999999999999E-3</v>
      </c>
      <c r="F458" s="163">
        <v>2.7550000000000002E-2</v>
      </c>
      <c r="G458" s="270">
        <v>0.94310000000000005</v>
      </c>
      <c r="H458" s="163">
        <v>0.15909999999999999</v>
      </c>
      <c r="I458" s="163">
        <v>1.8290000000000001E-2</v>
      </c>
      <c r="J458" s="31" t="b">
        <v>0</v>
      </c>
      <c r="K458" s="32" t="b">
        <v>0</v>
      </c>
    </row>
    <row r="459" spans="2:11" ht="17" x14ac:dyDescent="0.2">
      <c r="B459" s="335" t="s">
        <v>1130</v>
      </c>
      <c r="C459" s="38" t="s">
        <v>551</v>
      </c>
      <c r="D459" s="166" t="s">
        <v>965</v>
      </c>
      <c r="E459" s="163">
        <v>1.4E-3</v>
      </c>
      <c r="F459" s="163">
        <v>4.2070000000000003E-2</v>
      </c>
      <c r="G459" s="270">
        <v>0.97350000000000003</v>
      </c>
      <c r="H459" s="163">
        <v>8.3839999999999998E-2</v>
      </c>
      <c r="I459" s="163">
        <v>8.4069999999999995E-3</v>
      </c>
      <c r="J459" s="31" t="b">
        <v>0</v>
      </c>
      <c r="K459" s="32" t="b">
        <v>0</v>
      </c>
    </row>
    <row r="460" spans="2:11" ht="17" x14ac:dyDescent="0.2">
      <c r="B460" s="335" t="s">
        <v>1129</v>
      </c>
      <c r="C460" s="38" t="s">
        <v>551</v>
      </c>
      <c r="D460" s="166" t="s">
        <v>961</v>
      </c>
      <c r="E460" s="163">
        <v>1.3829999999999999E-3</v>
      </c>
      <c r="F460" s="163">
        <v>9.1050000000000006E-2</v>
      </c>
      <c r="G460" s="270">
        <v>0.9879</v>
      </c>
      <c r="H460" s="163">
        <v>2.8779999999999999E-3</v>
      </c>
      <c r="I460" s="163">
        <v>1.3270000000000001E-3</v>
      </c>
      <c r="J460" s="31" t="b">
        <v>0</v>
      </c>
      <c r="K460" s="32" t="b">
        <v>0</v>
      </c>
    </row>
    <row r="461" spans="2:11" ht="17" x14ac:dyDescent="0.2">
      <c r="B461" s="335" t="s">
        <v>1128</v>
      </c>
      <c r="C461" s="38" t="s">
        <v>1037</v>
      </c>
      <c r="D461" s="166" t="s">
        <v>965</v>
      </c>
      <c r="E461" s="163">
        <v>-8.7490000000000004E-5</v>
      </c>
      <c r="F461" s="163">
        <v>3.056E-2</v>
      </c>
      <c r="G461" s="270">
        <v>0.99770000000000003</v>
      </c>
      <c r="H461" s="163">
        <v>0.26919999999999999</v>
      </c>
      <c r="I461" s="163">
        <v>3.841E-2</v>
      </c>
      <c r="J461" s="31" t="b">
        <v>0</v>
      </c>
      <c r="K461" s="32" t="b">
        <v>0</v>
      </c>
    </row>
    <row r="462" spans="2:11" ht="17" x14ac:dyDescent="0.2">
      <c r="B462" s="335" t="s">
        <v>1127</v>
      </c>
      <c r="C462" s="38" t="s">
        <v>551</v>
      </c>
      <c r="D462" s="166" t="s">
        <v>965</v>
      </c>
      <c r="E462" s="163">
        <v>-2.2949999999999999E-4</v>
      </c>
      <c r="F462" s="163">
        <v>3.7670000000000002E-2</v>
      </c>
      <c r="G462" s="270">
        <v>0.99509999999999998</v>
      </c>
      <c r="H462" s="163">
        <v>0.1106</v>
      </c>
      <c r="I462" s="163">
        <v>1.0290000000000001E-2</v>
      </c>
      <c r="J462" s="31" t="b">
        <v>0</v>
      </c>
      <c r="K462" s="32" t="b">
        <v>0</v>
      </c>
    </row>
    <row r="463" spans="2:11" ht="34" x14ac:dyDescent="0.2">
      <c r="B463" s="335" t="s">
        <v>1126</v>
      </c>
      <c r="C463" s="38" t="s">
        <v>551</v>
      </c>
      <c r="D463" s="166" t="s">
        <v>961</v>
      </c>
      <c r="E463" s="163">
        <v>-5.2939999999999997E-4</v>
      </c>
      <c r="F463" s="163">
        <v>5.1270000000000003E-2</v>
      </c>
      <c r="G463" s="270">
        <v>0.99180000000000001</v>
      </c>
      <c r="H463" s="163">
        <v>3.4869999999999998E-2</v>
      </c>
      <c r="I463" s="163">
        <v>4.2189999999999997E-3</v>
      </c>
      <c r="J463" s="31" t="b">
        <v>0</v>
      </c>
      <c r="K463" s="32" t="b">
        <v>0</v>
      </c>
    </row>
    <row r="464" spans="2:11" ht="17" x14ac:dyDescent="0.2">
      <c r="B464" s="335" t="s">
        <v>1125</v>
      </c>
      <c r="C464" s="38" t="s">
        <v>551</v>
      </c>
      <c r="D464" s="166" t="s">
        <v>961</v>
      </c>
      <c r="E464" s="163">
        <v>-1.382E-3</v>
      </c>
      <c r="F464" s="163">
        <v>9.017E-2</v>
      </c>
      <c r="G464" s="270">
        <v>0.98780000000000001</v>
      </c>
      <c r="H464" s="163">
        <v>3.1129999999999999E-3</v>
      </c>
      <c r="I464" s="163">
        <v>1.263E-3</v>
      </c>
      <c r="J464" s="31" t="b">
        <v>0</v>
      </c>
      <c r="K464" s="32" t="b">
        <v>0</v>
      </c>
    </row>
    <row r="465" spans="2:11" ht="17" x14ac:dyDescent="0.2">
      <c r="B465" s="335" t="s">
        <v>1124</v>
      </c>
      <c r="C465" s="38" t="s">
        <v>1037</v>
      </c>
      <c r="D465" s="166" t="s">
        <v>965</v>
      </c>
      <c r="E465" s="163">
        <v>-1.823E-3</v>
      </c>
      <c r="F465" s="163">
        <v>3.0679999999999999E-2</v>
      </c>
      <c r="G465" s="270">
        <v>0.9526</v>
      </c>
      <c r="H465" s="163">
        <v>0.16320000000000001</v>
      </c>
      <c r="I465" s="163">
        <v>1.7440000000000001E-2</v>
      </c>
      <c r="J465" s="31" t="b">
        <v>0</v>
      </c>
      <c r="K465" s="32" t="b">
        <v>0</v>
      </c>
    </row>
    <row r="466" spans="2:11" ht="17" x14ac:dyDescent="0.2">
      <c r="B466" s="335" t="s">
        <v>1122</v>
      </c>
      <c r="C466" s="38" t="s">
        <v>551</v>
      </c>
      <c r="D466" s="166" t="s">
        <v>961</v>
      </c>
      <c r="E466" s="163">
        <v>-2.3800000000000002E-3</v>
      </c>
      <c r="F466" s="163">
        <v>3.6859999999999997E-2</v>
      </c>
      <c r="G466" s="270">
        <v>0.94850000000000001</v>
      </c>
      <c r="H466" s="163">
        <v>2.843E-2</v>
      </c>
      <c r="I466" s="163">
        <v>3.5270000000000002E-3</v>
      </c>
      <c r="J466" s="31" t="b">
        <v>0</v>
      </c>
      <c r="K466" s="32" t="b">
        <v>0</v>
      </c>
    </row>
    <row r="467" spans="2:11" ht="17" x14ac:dyDescent="0.2">
      <c r="B467" s="335" t="s">
        <v>1123</v>
      </c>
      <c r="C467" s="38" t="s">
        <v>551</v>
      </c>
      <c r="D467" s="166" t="s">
        <v>965</v>
      </c>
      <c r="E467" s="163">
        <v>-2.3800000000000002E-3</v>
      </c>
      <c r="F467" s="163">
        <v>2.5479999999999999E-2</v>
      </c>
      <c r="G467" s="270">
        <v>0.92559999999999998</v>
      </c>
      <c r="H467" s="163">
        <v>0.19570000000000001</v>
      </c>
      <c r="I467" s="163">
        <v>1.617E-2</v>
      </c>
      <c r="J467" s="31" t="b">
        <v>0</v>
      </c>
      <c r="K467" s="32" t="b">
        <v>0</v>
      </c>
    </row>
    <row r="468" spans="2:11" ht="17" x14ac:dyDescent="0.2">
      <c r="B468" s="335" t="s">
        <v>1121</v>
      </c>
      <c r="C468" s="38" t="s">
        <v>551</v>
      </c>
      <c r="D468" s="166" t="s">
        <v>961</v>
      </c>
      <c r="E468" s="163">
        <v>-3.124E-3</v>
      </c>
      <c r="F468" s="163">
        <v>6.5820000000000004E-2</v>
      </c>
      <c r="G468" s="270">
        <v>0.96220000000000006</v>
      </c>
      <c r="H468" s="163">
        <v>6.2529999999999999E-3</v>
      </c>
      <c r="I468" s="163">
        <v>1.3630000000000001E-3</v>
      </c>
      <c r="J468" s="31" t="b">
        <v>0</v>
      </c>
      <c r="K468" s="32" t="b">
        <v>0</v>
      </c>
    </row>
    <row r="469" spans="2:11" ht="17" x14ac:dyDescent="0.2">
      <c r="B469" s="335" t="s">
        <v>1120</v>
      </c>
      <c r="C469" s="38" t="s">
        <v>551</v>
      </c>
      <c r="D469" s="166" t="s">
        <v>965</v>
      </c>
      <c r="E469" s="163">
        <v>-3.1570000000000001E-3</v>
      </c>
      <c r="F469" s="163">
        <v>3.5479999999999998E-2</v>
      </c>
      <c r="G469" s="270">
        <v>0.92910000000000004</v>
      </c>
      <c r="H469" s="163">
        <v>5.2859999999999997E-2</v>
      </c>
      <c r="I469" s="163">
        <v>6.6449999999999999E-3</v>
      </c>
      <c r="J469" s="31" t="b">
        <v>0</v>
      </c>
      <c r="K469" s="32" t="b">
        <v>0</v>
      </c>
    </row>
    <row r="470" spans="2:11" ht="17" x14ac:dyDescent="0.2">
      <c r="B470" s="335" t="s">
        <v>1118</v>
      </c>
      <c r="C470" s="38" t="s">
        <v>1119</v>
      </c>
      <c r="D470" s="166" t="s">
        <v>965</v>
      </c>
      <c r="E470" s="163">
        <v>-3.4919999999999999E-3</v>
      </c>
      <c r="F470" s="163">
        <v>2.2540000000000001E-2</v>
      </c>
      <c r="G470" s="270">
        <v>0.87690000000000001</v>
      </c>
      <c r="H470" s="163">
        <v>0.34810000000000002</v>
      </c>
      <c r="I470" s="163">
        <v>1.685E-2</v>
      </c>
      <c r="J470" s="31" t="b">
        <v>0</v>
      </c>
      <c r="K470" s="32" t="b">
        <v>0</v>
      </c>
    </row>
    <row r="471" spans="2:11" ht="17" x14ac:dyDescent="0.2">
      <c r="B471" s="335" t="s">
        <v>1117</v>
      </c>
      <c r="C471" s="38" t="s">
        <v>551</v>
      </c>
      <c r="D471" s="166" t="s">
        <v>965</v>
      </c>
      <c r="E471" s="163">
        <v>-3.5769999999999999E-3</v>
      </c>
      <c r="F471" s="163">
        <v>5.1409999999999997E-2</v>
      </c>
      <c r="G471" s="270">
        <v>0.94450000000000001</v>
      </c>
      <c r="H471" s="163">
        <v>7.9680000000000001E-2</v>
      </c>
      <c r="I471" s="163">
        <v>1.285E-2</v>
      </c>
      <c r="J471" s="31" t="b">
        <v>0</v>
      </c>
      <c r="K471" s="32" t="b">
        <v>0</v>
      </c>
    </row>
    <row r="472" spans="2:11" ht="17" x14ac:dyDescent="0.2">
      <c r="B472" s="335" t="s">
        <v>1116</v>
      </c>
      <c r="C472" s="38" t="s">
        <v>551</v>
      </c>
      <c r="D472" s="166" t="s">
        <v>961</v>
      </c>
      <c r="E472" s="163">
        <v>-4.1359999999999999E-3</v>
      </c>
      <c r="F472" s="163">
        <v>7.1959999999999996E-2</v>
      </c>
      <c r="G472" s="270">
        <v>0.95420000000000005</v>
      </c>
      <c r="H472" s="163">
        <v>5.5180000000000003E-3</v>
      </c>
      <c r="I472" s="163">
        <v>1.4729999999999999E-3</v>
      </c>
      <c r="J472" s="31" t="b">
        <v>0</v>
      </c>
      <c r="K472" s="32" t="b">
        <v>0</v>
      </c>
    </row>
    <row r="473" spans="2:11" ht="17" x14ac:dyDescent="0.2">
      <c r="B473" s="335" t="s">
        <v>1115</v>
      </c>
      <c r="C473" s="38" t="s">
        <v>551</v>
      </c>
      <c r="D473" s="166" t="s">
        <v>961</v>
      </c>
      <c r="E473" s="163">
        <v>-4.352E-3</v>
      </c>
      <c r="F473" s="163">
        <v>0.10249999999999999</v>
      </c>
      <c r="G473" s="270">
        <v>0.96609999999999996</v>
      </c>
      <c r="H473" s="163">
        <v>2.9529999999999999E-3</v>
      </c>
      <c r="I473" s="163">
        <v>1.266E-3</v>
      </c>
      <c r="J473" s="31" t="b">
        <v>0</v>
      </c>
      <c r="K473" s="32" t="b">
        <v>0</v>
      </c>
    </row>
    <row r="474" spans="2:11" ht="17" x14ac:dyDescent="0.2">
      <c r="B474" s="335" t="s">
        <v>1114</v>
      </c>
      <c r="C474" s="38" t="s">
        <v>551</v>
      </c>
      <c r="D474" s="166" t="s">
        <v>965</v>
      </c>
      <c r="E474" s="163">
        <v>-5.0299999999999997E-3</v>
      </c>
      <c r="F474" s="163">
        <v>8.6959999999999996E-2</v>
      </c>
      <c r="G474" s="270">
        <v>0.95389999999999997</v>
      </c>
      <c r="H474" s="163">
        <v>1.3780000000000001E-2</v>
      </c>
      <c r="I474" s="163">
        <v>6.4510000000000001E-3</v>
      </c>
      <c r="J474" s="31" t="b">
        <v>0</v>
      </c>
      <c r="K474" s="32" t="b">
        <v>0</v>
      </c>
    </row>
    <row r="475" spans="2:11" ht="17" x14ac:dyDescent="0.2">
      <c r="B475" s="335" t="s">
        <v>1113</v>
      </c>
      <c r="C475" s="38" t="s">
        <v>551</v>
      </c>
      <c r="D475" s="166" t="s">
        <v>965</v>
      </c>
      <c r="E475" s="163">
        <v>-6.0359999999999997E-3</v>
      </c>
      <c r="F475" s="163">
        <v>2.41E-2</v>
      </c>
      <c r="G475" s="270">
        <v>0.80230000000000001</v>
      </c>
      <c r="H475" s="163">
        <v>0.12470000000000001</v>
      </c>
      <c r="I475" s="163">
        <v>3.7479999999999999E-2</v>
      </c>
      <c r="J475" s="31" t="b">
        <v>0</v>
      </c>
      <c r="K475" s="32" t="b">
        <v>0</v>
      </c>
    </row>
    <row r="476" spans="2:11" ht="17" x14ac:dyDescent="0.2">
      <c r="B476" s="335" t="s">
        <v>1112</v>
      </c>
      <c r="C476" s="38" t="s">
        <v>551</v>
      </c>
      <c r="D476" s="166" t="s">
        <v>961</v>
      </c>
      <c r="E476" s="163">
        <v>-7.3070000000000001E-3</v>
      </c>
      <c r="F476" s="163">
        <v>7.6340000000000005E-2</v>
      </c>
      <c r="G476" s="270">
        <v>0.92379999999999995</v>
      </c>
      <c r="H476" s="163">
        <v>3.9350000000000001E-3</v>
      </c>
      <c r="I476" s="163">
        <v>1.23E-3</v>
      </c>
      <c r="J476" s="31" t="b">
        <v>0</v>
      </c>
      <c r="K476" s="32" t="b">
        <v>0</v>
      </c>
    </row>
    <row r="477" spans="2:11" ht="17" x14ac:dyDescent="0.2">
      <c r="B477" s="335" t="s">
        <v>1111</v>
      </c>
      <c r="C477" s="38" t="s">
        <v>551</v>
      </c>
      <c r="D477" s="166" t="s">
        <v>965</v>
      </c>
      <c r="E477" s="163">
        <v>-8.3660000000000002E-3</v>
      </c>
      <c r="F477" s="163">
        <v>3.3570000000000003E-2</v>
      </c>
      <c r="G477" s="270">
        <v>0.80320000000000003</v>
      </c>
      <c r="H477" s="163">
        <v>5.7619999999999998E-2</v>
      </c>
      <c r="I477" s="163">
        <v>1.4189999999999999E-2</v>
      </c>
      <c r="J477" s="31" t="b">
        <v>0</v>
      </c>
      <c r="K477" s="32" t="b">
        <v>0</v>
      </c>
    </row>
    <row r="478" spans="2:11" ht="17" x14ac:dyDescent="0.2">
      <c r="B478" s="335" t="s">
        <v>1110</v>
      </c>
      <c r="C478" s="38" t="s">
        <v>1012</v>
      </c>
      <c r="D478" s="166" t="s">
        <v>965</v>
      </c>
      <c r="E478" s="163">
        <v>-8.6140000000000001E-3</v>
      </c>
      <c r="F478" s="163">
        <v>7.843E-2</v>
      </c>
      <c r="G478" s="270">
        <v>0.91249999999999998</v>
      </c>
      <c r="H478" s="163">
        <v>0.1555</v>
      </c>
      <c r="I478" s="163">
        <v>4.0509999999999997E-2</v>
      </c>
      <c r="J478" s="31" t="b">
        <v>0</v>
      </c>
      <c r="K478" s="32" t="b">
        <v>0</v>
      </c>
    </row>
    <row r="479" spans="2:11" ht="17" x14ac:dyDescent="0.2">
      <c r="B479" s="335" t="s">
        <v>1109</v>
      </c>
      <c r="C479" s="38" t="s">
        <v>551</v>
      </c>
      <c r="D479" s="166" t="s">
        <v>965</v>
      </c>
      <c r="E479" s="163">
        <v>-9.3080000000000003E-3</v>
      </c>
      <c r="F479" s="163">
        <v>2.1930000000000002E-2</v>
      </c>
      <c r="G479" s="270">
        <v>0.67120000000000002</v>
      </c>
      <c r="H479" s="163">
        <v>0.10050000000000001</v>
      </c>
      <c r="I479" s="163">
        <v>1.7649999999999999E-2</v>
      </c>
      <c r="J479" s="31" t="b">
        <v>0</v>
      </c>
      <c r="K479" s="32" t="b">
        <v>0</v>
      </c>
    </row>
    <row r="480" spans="2:11" ht="17" x14ac:dyDescent="0.2">
      <c r="B480" s="335" t="s">
        <v>1108</v>
      </c>
      <c r="C480" s="38" t="s">
        <v>551</v>
      </c>
      <c r="D480" s="166" t="s">
        <v>961</v>
      </c>
      <c r="E480" s="163">
        <v>-9.5980000000000006E-3</v>
      </c>
      <c r="F480" s="163">
        <v>5.0979999999999998E-2</v>
      </c>
      <c r="G480" s="270">
        <v>0.85070000000000001</v>
      </c>
      <c r="H480" s="163">
        <v>7.7170000000000002E-2</v>
      </c>
      <c r="I480" s="163">
        <v>8.5760000000000003E-3</v>
      </c>
      <c r="J480" s="31" t="b">
        <v>0</v>
      </c>
      <c r="K480" s="32" t="b">
        <v>0</v>
      </c>
    </row>
    <row r="481" spans="2:11" ht="17" x14ac:dyDescent="0.2">
      <c r="B481" s="335" t="s">
        <v>1107</v>
      </c>
      <c r="C481" s="38" t="s">
        <v>551</v>
      </c>
      <c r="D481" s="166" t="s">
        <v>965</v>
      </c>
      <c r="E481" s="163">
        <v>-1.008E-2</v>
      </c>
      <c r="F481" s="163">
        <v>0.1169</v>
      </c>
      <c r="G481" s="270">
        <v>0.93130000000000002</v>
      </c>
      <c r="H481" s="163">
        <v>5.9159999999999997E-2</v>
      </c>
      <c r="I481" s="163">
        <v>4.4940000000000001E-2</v>
      </c>
      <c r="J481" s="31" t="b">
        <v>0</v>
      </c>
      <c r="K481" s="32" t="b">
        <v>0</v>
      </c>
    </row>
    <row r="482" spans="2:11" ht="17" x14ac:dyDescent="0.2">
      <c r="B482" s="335" t="s">
        <v>1106</v>
      </c>
      <c r="C482" s="38" t="s">
        <v>551</v>
      </c>
      <c r="D482" s="166" t="s">
        <v>961</v>
      </c>
      <c r="E482" s="163">
        <v>-1.017E-2</v>
      </c>
      <c r="F482" s="163">
        <v>9.2429999999999998E-2</v>
      </c>
      <c r="G482" s="270">
        <v>0.91239999999999999</v>
      </c>
      <c r="H482" s="163">
        <v>2.977E-3</v>
      </c>
      <c r="I482" s="163">
        <v>1.4419999999999999E-3</v>
      </c>
      <c r="J482" s="31" t="b">
        <v>0</v>
      </c>
      <c r="K482" s="32" t="b">
        <v>0</v>
      </c>
    </row>
    <row r="483" spans="2:11" ht="17" x14ac:dyDescent="0.2">
      <c r="B483" s="335" t="s">
        <v>1105</v>
      </c>
      <c r="C483" s="38" t="s">
        <v>551</v>
      </c>
      <c r="D483" s="166" t="s">
        <v>965</v>
      </c>
      <c r="E483" s="163">
        <v>-1.103E-2</v>
      </c>
      <c r="F483" s="163">
        <v>2.2190000000000001E-2</v>
      </c>
      <c r="G483" s="270">
        <v>0.61919999999999997</v>
      </c>
      <c r="H483" s="163">
        <v>0.1142</v>
      </c>
      <c r="I483" s="163">
        <v>2.596E-2</v>
      </c>
      <c r="J483" s="31" t="b">
        <v>0</v>
      </c>
      <c r="K483" s="32" t="b">
        <v>0</v>
      </c>
    </row>
    <row r="484" spans="2:11" ht="17" x14ac:dyDescent="0.2">
      <c r="B484" s="335" t="s">
        <v>1104</v>
      </c>
      <c r="C484" s="38" t="s">
        <v>1037</v>
      </c>
      <c r="D484" s="166" t="s">
        <v>965</v>
      </c>
      <c r="E484" s="163">
        <v>-1.2160000000000001E-2</v>
      </c>
      <c r="F484" s="163">
        <v>5.4519999999999999E-2</v>
      </c>
      <c r="G484" s="270">
        <v>0.82350000000000001</v>
      </c>
      <c r="H484" s="163">
        <v>0.15920000000000001</v>
      </c>
      <c r="I484" s="163">
        <v>1.7350000000000001E-2</v>
      </c>
      <c r="J484" s="31" t="b">
        <v>0</v>
      </c>
      <c r="K484" s="32" t="b">
        <v>0</v>
      </c>
    </row>
    <row r="485" spans="2:11" ht="17" x14ac:dyDescent="0.2">
      <c r="B485" s="335" t="s">
        <v>1103</v>
      </c>
      <c r="C485" s="38" t="s">
        <v>551</v>
      </c>
      <c r="D485" s="166" t="s">
        <v>965</v>
      </c>
      <c r="E485" s="163">
        <v>-1.444E-2</v>
      </c>
      <c r="F485" s="163">
        <v>3.2579999999999998E-2</v>
      </c>
      <c r="G485" s="270">
        <v>0.65759999999999996</v>
      </c>
      <c r="H485" s="163">
        <v>0.17899999999999999</v>
      </c>
      <c r="I485" s="163">
        <v>1.111E-2</v>
      </c>
      <c r="J485" s="31" t="b">
        <v>0</v>
      </c>
      <c r="K485" s="32" t="b">
        <v>0</v>
      </c>
    </row>
    <row r="486" spans="2:11" ht="17" x14ac:dyDescent="0.2">
      <c r="B486" s="335" t="s">
        <v>1102</v>
      </c>
      <c r="C486" s="38" t="s">
        <v>551</v>
      </c>
      <c r="D486" s="166" t="s">
        <v>961</v>
      </c>
      <c r="E486" s="163">
        <v>-1.489E-2</v>
      </c>
      <c r="F486" s="163">
        <v>8.2610000000000003E-2</v>
      </c>
      <c r="G486" s="270">
        <v>0.85699999999999998</v>
      </c>
      <c r="H486" s="163">
        <v>3.5929999999999998E-3</v>
      </c>
      <c r="I486" s="163">
        <v>1.1999999999999999E-3</v>
      </c>
      <c r="J486" s="31" t="b">
        <v>0</v>
      </c>
      <c r="K486" s="32" t="b">
        <v>0</v>
      </c>
    </row>
    <row r="487" spans="2:11" ht="17" x14ac:dyDescent="0.2">
      <c r="B487" s="335" t="s">
        <v>1101</v>
      </c>
      <c r="C487" s="38" t="s">
        <v>551</v>
      </c>
      <c r="D487" s="166" t="s">
        <v>961</v>
      </c>
      <c r="E487" s="163">
        <v>-1.536E-2</v>
      </c>
      <c r="F487" s="163">
        <v>3.3210000000000003E-2</v>
      </c>
      <c r="G487" s="270">
        <v>0.64359999999999995</v>
      </c>
      <c r="H487" s="163">
        <v>7.9930000000000001E-2</v>
      </c>
      <c r="I487" s="163">
        <v>9.4219999999999998E-3</v>
      </c>
      <c r="J487" s="31" t="b">
        <v>0</v>
      </c>
      <c r="K487" s="32" t="b">
        <v>0</v>
      </c>
    </row>
    <row r="488" spans="2:11" ht="34" x14ac:dyDescent="0.2">
      <c r="B488" s="335" t="s">
        <v>1100</v>
      </c>
      <c r="C488" s="38" t="s">
        <v>551</v>
      </c>
      <c r="D488" s="166" t="s">
        <v>961</v>
      </c>
      <c r="E488" s="163">
        <v>-1.6129999999999999E-2</v>
      </c>
      <c r="F488" s="163">
        <v>8.2890000000000005E-2</v>
      </c>
      <c r="G488" s="270">
        <v>0.8458</v>
      </c>
      <c r="H488" s="163">
        <v>2.9489999999999998E-3</v>
      </c>
      <c r="I488" s="163">
        <v>1.245E-3</v>
      </c>
      <c r="J488" s="31" t="b">
        <v>0</v>
      </c>
      <c r="K488" s="32" t="b">
        <v>0</v>
      </c>
    </row>
    <row r="489" spans="2:11" ht="17" x14ac:dyDescent="0.2">
      <c r="B489" s="335" t="s">
        <v>1099</v>
      </c>
      <c r="C489" s="38" t="s">
        <v>551</v>
      </c>
      <c r="D489" s="166" t="s">
        <v>965</v>
      </c>
      <c r="E489" s="163">
        <v>-1.6629999999999999E-2</v>
      </c>
      <c r="F489" s="163">
        <v>2.75E-2</v>
      </c>
      <c r="G489" s="270">
        <v>0.54530000000000001</v>
      </c>
      <c r="H489" s="163">
        <v>0.17219999999999999</v>
      </c>
      <c r="I489" s="163">
        <v>1.5140000000000001E-2</v>
      </c>
      <c r="J489" s="31" t="b">
        <v>0</v>
      </c>
      <c r="K489" s="32" t="b">
        <v>0</v>
      </c>
    </row>
    <row r="490" spans="2:11" ht="17" x14ac:dyDescent="0.2">
      <c r="B490" s="335" t="s">
        <v>1098</v>
      </c>
      <c r="C490" s="38" t="s">
        <v>551</v>
      </c>
      <c r="D490" s="166" t="s">
        <v>965</v>
      </c>
      <c r="E490" s="163">
        <v>-1.729E-2</v>
      </c>
      <c r="F490" s="163">
        <v>2.1440000000000001E-2</v>
      </c>
      <c r="G490" s="270">
        <v>0.41980000000000001</v>
      </c>
      <c r="H490" s="163">
        <v>0.12130000000000001</v>
      </c>
      <c r="I490" s="163">
        <v>3.3009999999999998E-2</v>
      </c>
      <c r="J490" s="31" t="b">
        <v>0</v>
      </c>
      <c r="K490" s="32" t="b">
        <v>0</v>
      </c>
    </row>
    <row r="491" spans="2:11" ht="17" x14ac:dyDescent="0.2">
      <c r="B491" s="335" t="s">
        <v>1097</v>
      </c>
      <c r="C491" s="38" t="s">
        <v>551</v>
      </c>
      <c r="D491" s="166" t="s">
        <v>965</v>
      </c>
      <c r="E491" s="163">
        <v>-1.7860000000000001E-2</v>
      </c>
      <c r="F491" s="163">
        <v>4.6530000000000002E-2</v>
      </c>
      <c r="G491" s="270">
        <v>0.70099999999999996</v>
      </c>
      <c r="H491" s="163">
        <v>6.7610000000000003E-2</v>
      </c>
      <c r="I491" s="163">
        <v>7.4200000000000004E-3</v>
      </c>
      <c r="J491" s="31" t="b">
        <v>0</v>
      </c>
      <c r="K491" s="32" t="b">
        <v>0</v>
      </c>
    </row>
    <row r="492" spans="2:11" ht="17" x14ac:dyDescent="0.2">
      <c r="B492" s="335" t="s">
        <v>1096</v>
      </c>
      <c r="C492" s="38" t="s">
        <v>551</v>
      </c>
      <c r="D492" s="166" t="s">
        <v>961</v>
      </c>
      <c r="E492" s="163">
        <v>-1.8239999999999999E-2</v>
      </c>
      <c r="F492" s="163">
        <v>9.289E-2</v>
      </c>
      <c r="G492" s="270">
        <v>0.84430000000000005</v>
      </c>
      <c r="H492" s="163">
        <v>3.2780000000000001E-3</v>
      </c>
      <c r="I492" s="163">
        <v>1.263E-3</v>
      </c>
      <c r="J492" s="31" t="b">
        <v>0</v>
      </c>
      <c r="K492" s="32" t="b">
        <v>0</v>
      </c>
    </row>
    <row r="493" spans="2:11" ht="17" x14ac:dyDescent="0.2">
      <c r="B493" s="335" t="s">
        <v>1095</v>
      </c>
      <c r="C493" s="38" t="s">
        <v>551</v>
      </c>
      <c r="D493" s="166" t="s">
        <v>965</v>
      </c>
      <c r="E493" s="163">
        <v>-1.8270000000000002E-2</v>
      </c>
      <c r="F493" s="163">
        <v>7.1489999999999998E-2</v>
      </c>
      <c r="G493" s="270">
        <v>0.79830000000000001</v>
      </c>
      <c r="H493" s="163">
        <v>1.9220000000000001E-2</v>
      </c>
      <c r="I493" s="163">
        <v>6.3940000000000004E-3</v>
      </c>
      <c r="J493" s="31" t="b">
        <v>0</v>
      </c>
      <c r="K493" s="32" t="b">
        <v>0</v>
      </c>
    </row>
    <row r="494" spans="2:11" ht="17" x14ac:dyDescent="0.2">
      <c r="B494" s="335" t="s">
        <v>1094</v>
      </c>
      <c r="C494" s="38" t="s">
        <v>551</v>
      </c>
      <c r="D494" s="166" t="s">
        <v>961</v>
      </c>
      <c r="E494" s="163">
        <v>-1.9480000000000001E-2</v>
      </c>
      <c r="F494" s="163">
        <v>9.8790000000000003E-2</v>
      </c>
      <c r="G494" s="270">
        <v>0.84370000000000001</v>
      </c>
      <c r="H494" s="163">
        <v>2.8639999999999998E-3</v>
      </c>
      <c r="I494" s="163">
        <v>1.2620000000000001E-3</v>
      </c>
      <c r="J494" s="31" t="b">
        <v>0</v>
      </c>
      <c r="K494" s="32" t="b">
        <v>0</v>
      </c>
    </row>
    <row r="495" spans="2:11" ht="17" x14ac:dyDescent="0.2">
      <c r="B495" s="335" t="s">
        <v>1093</v>
      </c>
      <c r="C495" s="38" t="s">
        <v>1037</v>
      </c>
      <c r="D495" s="166" t="s">
        <v>965</v>
      </c>
      <c r="E495" s="163">
        <v>-1.9650000000000001E-2</v>
      </c>
      <c r="F495" s="163">
        <v>3.1699999999999999E-2</v>
      </c>
      <c r="G495" s="270">
        <v>0.5353</v>
      </c>
      <c r="H495" s="163">
        <v>0.19170000000000001</v>
      </c>
      <c r="I495" s="163">
        <v>2.078E-2</v>
      </c>
      <c r="J495" s="31" t="b">
        <v>0</v>
      </c>
      <c r="K495" s="32" t="b">
        <v>0</v>
      </c>
    </row>
    <row r="496" spans="2:11" ht="17" x14ac:dyDescent="0.2">
      <c r="B496" s="335" t="s">
        <v>1092</v>
      </c>
      <c r="C496" s="38" t="s">
        <v>551</v>
      </c>
      <c r="D496" s="166" t="s">
        <v>961</v>
      </c>
      <c r="E496" s="163">
        <v>-2.164E-2</v>
      </c>
      <c r="F496" s="163">
        <v>4.5530000000000001E-2</v>
      </c>
      <c r="G496" s="270">
        <v>0.63449999999999995</v>
      </c>
      <c r="H496" s="163">
        <v>5.6570000000000002E-2</v>
      </c>
      <c r="I496" s="163">
        <v>7.1440000000000002E-3</v>
      </c>
      <c r="J496" s="31" t="b">
        <v>0</v>
      </c>
      <c r="K496" s="32" t="b">
        <v>0</v>
      </c>
    </row>
    <row r="497" spans="2:11" ht="17" x14ac:dyDescent="0.2">
      <c r="B497" s="335" t="s">
        <v>1091</v>
      </c>
      <c r="C497" s="38" t="s">
        <v>551</v>
      </c>
      <c r="D497" s="166" t="s">
        <v>961</v>
      </c>
      <c r="E497" s="163">
        <v>-2.2110000000000001E-2</v>
      </c>
      <c r="F497" s="163">
        <v>6.6610000000000003E-2</v>
      </c>
      <c r="G497" s="270">
        <v>0.7399</v>
      </c>
      <c r="H497" s="163">
        <v>6.2220000000000001E-3</v>
      </c>
      <c r="I497" s="163">
        <v>1.4890000000000001E-3</v>
      </c>
      <c r="J497" s="31" t="b">
        <v>0</v>
      </c>
      <c r="K497" s="32" t="b">
        <v>0</v>
      </c>
    </row>
    <row r="498" spans="2:11" ht="17" x14ac:dyDescent="0.2">
      <c r="B498" s="335" t="s">
        <v>1090</v>
      </c>
      <c r="C498" s="38" t="s">
        <v>551</v>
      </c>
      <c r="D498" s="166" t="s">
        <v>965</v>
      </c>
      <c r="E498" s="163">
        <v>-2.2159999999999999E-2</v>
      </c>
      <c r="F498" s="163">
        <v>3.3689999999999998E-2</v>
      </c>
      <c r="G498" s="270">
        <v>0.51070000000000004</v>
      </c>
      <c r="H498" s="163">
        <v>0.1527</v>
      </c>
      <c r="I498" s="163">
        <v>1.208E-2</v>
      </c>
      <c r="J498" s="31" t="b">
        <v>0</v>
      </c>
      <c r="K498" s="32" t="b">
        <v>0</v>
      </c>
    </row>
    <row r="499" spans="2:11" ht="17" x14ac:dyDescent="0.2">
      <c r="B499" s="335" t="s">
        <v>1089</v>
      </c>
      <c r="C499" s="38" t="s">
        <v>551</v>
      </c>
      <c r="D499" s="166" t="s">
        <v>961</v>
      </c>
      <c r="E499" s="163">
        <v>-2.2919999999999999E-2</v>
      </c>
      <c r="F499" s="163">
        <v>9.4219999999999998E-2</v>
      </c>
      <c r="G499" s="270">
        <v>0.80779999999999996</v>
      </c>
      <c r="H499" s="163">
        <v>3.7499999999999999E-3</v>
      </c>
      <c r="I499" s="163">
        <v>1.4790000000000001E-3</v>
      </c>
      <c r="J499" s="31" t="b">
        <v>0</v>
      </c>
      <c r="K499" s="32" t="b">
        <v>0</v>
      </c>
    </row>
    <row r="500" spans="2:11" ht="17" x14ac:dyDescent="0.2">
      <c r="B500" s="335" t="s">
        <v>1088</v>
      </c>
      <c r="C500" s="38" t="s">
        <v>1037</v>
      </c>
      <c r="D500" s="166" t="s">
        <v>965</v>
      </c>
      <c r="E500" s="163">
        <v>-2.3050000000000001E-2</v>
      </c>
      <c r="F500" s="163">
        <v>3.2710000000000003E-2</v>
      </c>
      <c r="G500" s="270">
        <v>0.48110000000000003</v>
      </c>
      <c r="H500" s="163">
        <v>0.17749999999999999</v>
      </c>
      <c r="I500" s="163">
        <v>1.6250000000000001E-2</v>
      </c>
      <c r="J500" s="31" t="b">
        <v>0</v>
      </c>
      <c r="K500" s="32" t="b">
        <v>0</v>
      </c>
    </row>
    <row r="501" spans="2:11" ht="17" x14ac:dyDescent="0.2">
      <c r="B501" s="335" t="s">
        <v>1087</v>
      </c>
      <c r="C501" s="38" t="s">
        <v>551</v>
      </c>
      <c r="D501" s="166" t="s">
        <v>961</v>
      </c>
      <c r="E501" s="163">
        <v>-2.4219999999999998E-2</v>
      </c>
      <c r="F501" s="163">
        <v>9.1219999999999996E-2</v>
      </c>
      <c r="G501" s="270">
        <v>0.79059999999999997</v>
      </c>
      <c r="H501" s="163">
        <v>3.437E-3</v>
      </c>
      <c r="I501" s="163">
        <v>1.487E-3</v>
      </c>
      <c r="J501" s="31" t="b">
        <v>0</v>
      </c>
      <c r="K501" s="32" t="b">
        <v>0</v>
      </c>
    </row>
    <row r="502" spans="2:11" ht="17" x14ac:dyDescent="0.2">
      <c r="B502" s="335" t="s">
        <v>1086</v>
      </c>
      <c r="C502" s="38" t="s">
        <v>551</v>
      </c>
      <c r="D502" s="166" t="s">
        <v>965</v>
      </c>
      <c r="E502" s="163">
        <v>-2.5049999999999999E-2</v>
      </c>
      <c r="F502" s="163">
        <v>2.6700000000000002E-2</v>
      </c>
      <c r="G502" s="270">
        <v>0.34820000000000001</v>
      </c>
      <c r="H502" s="163">
        <v>0.19800000000000001</v>
      </c>
      <c r="I502" s="163">
        <v>2.426E-2</v>
      </c>
      <c r="J502" s="31" t="b">
        <v>0</v>
      </c>
      <c r="K502" s="32" t="b">
        <v>0</v>
      </c>
    </row>
    <row r="503" spans="2:11" ht="17" x14ac:dyDescent="0.2">
      <c r="B503" s="335" t="s">
        <v>1085</v>
      </c>
      <c r="C503" s="38" t="s">
        <v>551</v>
      </c>
      <c r="D503" s="166" t="s">
        <v>965</v>
      </c>
      <c r="E503" s="163">
        <v>-2.7099999999999999E-2</v>
      </c>
      <c r="F503" s="163">
        <v>6.012E-2</v>
      </c>
      <c r="G503" s="270">
        <v>0.65210000000000001</v>
      </c>
      <c r="H503" s="163">
        <v>9.0830000000000008E-3</v>
      </c>
      <c r="I503" s="163">
        <v>1.4779999999999999E-3</v>
      </c>
      <c r="J503" s="31" t="b">
        <v>0</v>
      </c>
      <c r="K503" s="32" t="b">
        <v>0</v>
      </c>
    </row>
    <row r="504" spans="2:11" ht="17" x14ac:dyDescent="0.2">
      <c r="B504" s="335" t="s">
        <v>1084</v>
      </c>
      <c r="C504" s="38" t="s">
        <v>551</v>
      </c>
      <c r="D504" s="166" t="s">
        <v>965</v>
      </c>
      <c r="E504" s="163">
        <v>-2.7459999999999998E-2</v>
      </c>
      <c r="F504" s="163">
        <v>5.1150000000000001E-2</v>
      </c>
      <c r="G504" s="270">
        <v>0.59130000000000005</v>
      </c>
      <c r="H504" s="163">
        <v>6.8320000000000006E-2</v>
      </c>
      <c r="I504" s="163">
        <v>7.9600000000000001E-3</v>
      </c>
      <c r="J504" s="31" t="b">
        <v>0</v>
      </c>
      <c r="K504" s="32" t="b">
        <v>0</v>
      </c>
    </row>
    <row r="505" spans="2:11" ht="17" x14ac:dyDescent="0.2">
      <c r="B505" s="335" t="s">
        <v>1083</v>
      </c>
      <c r="C505" s="38" t="s">
        <v>551</v>
      </c>
      <c r="D505" s="166" t="s">
        <v>961</v>
      </c>
      <c r="E505" s="163">
        <v>-2.7650000000000001E-2</v>
      </c>
      <c r="F505" s="163">
        <v>8.4489999999999996E-2</v>
      </c>
      <c r="G505" s="270">
        <v>0.74350000000000005</v>
      </c>
      <c r="H505" s="163">
        <v>3.2759999999999998E-3</v>
      </c>
      <c r="I505" s="163">
        <v>1.2769999999999999E-3</v>
      </c>
      <c r="J505" s="31" t="b">
        <v>0</v>
      </c>
      <c r="K505" s="32" t="b">
        <v>0</v>
      </c>
    </row>
    <row r="506" spans="2:11" ht="17" x14ac:dyDescent="0.2">
      <c r="B506" s="335" t="s">
        <v>1082</v>
      </c>
      <c r="C506" s="38" t="s">
        <v>551</v>
      </c>
      <c r="D506" s="166" t="s">
        <v>965</v>
      </c>
      <c r="E506" s="163">
        <v>-2.7660000000000001E-2</v>
      </c>
      <c r="F506" s="163">
        <v>5.6890000000000003E-2</v>
      </c>
      <c r="G506" s="270">
        <v>0.62680000000000002</v>
      </c>
      <c r="H506" s="163">
        <v>1.013E-2</v>
      </c>
      <c r="I506" s="163">
        <v>1.4829999999999999E-3</v>
      </c>
      <c r="J506" s="31" t="b">
        <v>0</v>
      </c>
      <c r="K506" s="32" t="b">
        <v>0</v>
      </c>
    </row>
    <row r="507" spans="2:11" ht="17" x14ac:dyDescent="0.2">
      <c r="B507" s="335" t="s">
        <v>1081</v>
      </c>
      <c r="C507" s="38" t="s">
        <v>551</v>
      </c>
      <c r="D507" s="166" t="s">
        <v>961</v>
      </c>
      <c r="E507" s="163">
        <v>-2.7820000000000001E-2</v>
      </c>
      <c r="F507" s="163">
        <v>9.6829999999999999E-2</v>
      </c>
      <c r="G507" s="270">
        <v>0.77390000000000003</v>
      </c>
      <c r="H507" s="163">
        <v>3.1879999999999999E-3</v>
      </c>
      <c r="I507" s="163">
        <v>1.348E-3</v>
      </c>
      <c r="J507" s="31" t="b">
        <v>0</v>
      </c>
      <c r="K507" s="32" t="b">
        <v>0</v>
      </c>
    </row>
    <row r="508" spans="2:11" ht="17" x14ac:dyDescent="0.2">
      <c r="B508" s="335" t="s">
        <v>1080</v>
      </c>
      <c r="C508" s="38" t="s">
        <v>1037</v>
      </c>
      <c r="D508" s="166" t="s">
        <v>965</v>
      </c>
      <c r="E508" s="163">
        <v>-2.862E-2</v>
      </c>
      <c r="F508" s="163">
        <v>2.7449999999999999E-2</v>
      </c>
      <c r="G508" s="270">
        <v>0.29730000000000001</v>
      </c>
      <c r="H508" s="163">
        <v>0.23</v>
      </c>
      <c r="I508" s="163">
        <v>1.806E-2</v>
      </c>
      <c r="J508" s="31" t="b">
        <v>0</v>
      </c>
      <c r="K508" s="32" t="b">
        <v>0</v>
      </c>
    </row>
    <row r="509" spans="2:11" ht="17" x14ac:dyDescent="0.2">
      <c r="B509" s="335" t="s">
        <v>1079</v>
      </c>
      <c r="C509" s="38" t="s">
        <v>551</v>
      </c>
      <c r="D509" s="166" t="s">
        <v>961</v>
      </c>
      <c r="E509" s="163">
        <v>-3.2899999999999999E-2</v>
      </c>
      <c r="F509" s="163">
        <v>6.4280000000000004E-2</v>
      </c>
      <c r="G509" s="270">
        <v>0.60880000000000001</v>
      </c>
      <c r="H509" s="163">
        <v>2.0809999999999999E-2</v>
      </c>
      <c r="I509" s="163">
        <v>4.568E-3</v>
      </c>
      <c r="J509" s="31" t="b">
        <v>0</v>
      </c>
      <c r="K509" s="32" t="b">
        <v>0</v>
      </c>
    </row>
    <row r="510" spans="2:11" ht="17" x14ac:dyDescent="0.2">
      <c r="B510" s="335" t="s">
        <v>1078</v>
      </c>
      <c r="C510" s="38" t="s">
        <v>990</v>
      </c>
      <c r="D510" s="166" t="s">
        <v>965</v>
      </c>
      <c r="E510" s="163">
        <v>-3.3140000000000003E-2</v>
      </c>
      <c r="F510" s="163">
        <v>3.4040000000000001E-2</v>
      </c>
      <c r="G510" s="270">
        <v>0.33029999999999998</v>
      </c>
      <c r="H510" s="163">
        <v>6.9139999999999993E-2</v>
      </c>
      <c r="I510" s="163">
        <v>2.1819999999999999E-2</v>
      </c>
      <c r="J510" s="31" t="b">
        <v>0</v>
      </c>
      <c r="K510" s="32" t="b">
        <v>0</v>
      </c>
    </row>
    <row r="511" spans="2:11" ht="17" x14ac:dyDescent="0.2">
      <c r="B511" s="335" t="s">
        <v>1077</v>
      </c>
      <c r="C511" s="38" t="s">
        <v>551</v>
      </c>
      <c r="D511" s="166" t="s">
        <v>965</v>
      </c>
      <c r="E511" s="163">
        <v>-3.3500000000000002E-2</v>
      </c>
      <c r="F511" s="163">
        <v>6.2480000000000001E-2</v>
      </c>
      <c r="G511" s="270">
        <v>0.59189999999999998</v>
      </c>
      <c r="H511" s="163">
        <v>3.7519999999999998E-2</v>
      </c>
      <c r="I511" s="163">
        <v>7.2319999999999997E-3</v>
      </c>
      <c r="J511" s="31" t="b">
        <v>0</v>
      </c>
      <c r="K511" s="32" t="b">
        <v>0</v>
      </c>
    </row>
    <row r="512" spans="2:11" ht="17" x14ac:dyDescent="0.2">
      <c r="B512" s="335" t="s">
        <v>1076</v>
      </c>
      <c r="C512" s="38" t="s">
        <v>551</v>
      </c>
      <c r="D512" s="166" t="s">
        <v>961</v>
      </c>
      <c r="E512" s="163">
        <v>-3.3799999999999997E-2</v>
      </c>
      <c r="F512" s="163">
        <v>4.9930000000000002E-2</v>
      </c>
      <c r="G512" s="270">
        <v>0.4985</v>
      </c>
      <c r="H512" s="163">
        <v>1.256E-2</v>
      </c>
      <c r="I512" s="163">
        <v>1.828E-3</v>
      </c>
      <c r="J512" s="31" t="b">
        <v>0</v>
      </c>
      <c r="K512" s="32" t="b">
        <v>0</v>
      </c>
    </row>
    <row r="513" spans="2:11" ht="17" x14ac:dyDescent="0.2">
      <c r="B513" s="335" t="s">
        <v>1075</v>
      </c>
      <c r="C513" s="38" t="s">
        <v>1037</v>
      </c>
      <c r="D513" s="166" t="s">
        <v>965</v>
      </c>
      <c r="E513" s="163">
        <v>-3.3849999999999998E-2</v>
      </c>
      <c r="F513" s="163">
        <v>2.8049999999999999E-2</v>
      </c>
      <c r="G513" s="270">
        <v>0.2276</v>
      </c>
      <c r="H513" s="163">
        <v>0.2029</v>
      </c>
      <c r="I513" s="163">
        <v>1.753E-2</v>
      </c>
      <c r="J513" s="31" t="b">
        <v>0</v>
      </c>
      <c r="K513" s="32" t="b">
        <v>0</v>
      </c>
    </row>
    <row r="514" spans="2:11" ht="17" x14ac:dyDescent="0.2">
      <c r="B514" s="335" t="s">
        <v>1074</v>
      </c>
      <c r="C514" s="38" t="s">
        <v>551</v>
      </c>
      <c r="D514" s="166" t="s">
        <v>961</v>
      </c>
      <c r="E514" s="163">
        <v>-3.6650000000000002E-2</v>
      </c>
      <c r="F514" s="163">
        <v>0.1242</v>
      </c>
      <c r="G514" s="270">
        <v>0.76800000000000002</v>
      </c>
      <c r="H514" s="163">
        <v>1.5950000000000001E-3</v>
      </c>
      <c r="I514" s="163">
        <v>1.3190000000000001E-3</v>
      </c>
      <c r="J514" s="31" t="b">
        <v>0</v>
      </c>
      <c r="K514" s="32" t="b">
        <v>0</v>
      </c>
    </row>
    <row r="515" spans="2:11" ht="17" x14ac:dyDescent="0.2">
      <c r="B515" s="335" t="s">
        <v>1073</v>
      </c>
      <c r="C515" s="38" t="s">
        <v>551</v>
      </c>
      <c r="D515" s="166" t="s">
        <v>961</v>
      </c>
      <c r="E515" s="163">
        <v>-3.7409999999999999E-2</v>
      </c>
      <c r="F515" s="163">
        <v>8.6249999999999993E-2</v>
      </c>
      <c r="G515" s="270">
        <v>0.66449999999999998</v>
      </c>
      <c r="H515" s="163">
        <v>3.2690000000000002E-3</v>
      </c>
      <c r="I515" s="163">
        <v>1.1620000000000001E-3</v>
      </c>
      <c r="J515" s="31" t="b">
        <v>0</v>
      </c>
      <c r="K515" s="32" t="b">
        <v>0</v>
      </c>
    </row>
    <row r="516" spans="2:11" ht="17" x14ac:dyDescent="0.2">
      <c r="B516" s="335" t="s">
        <v>1072</v>
      </c>
      <c r="C516" s="38" t="s">
        <v>551</v>
      </c>
      <c r="D516" s="166" t="s">
        <v>961</v>
      </c>
      <c r="E516" s="163">
        <v>-3.8879999999999998E-2</v>
      </c>
      <c r="F516" s="163">
        <v>0.1011</v>
      </c>
      <c r="G516" s="270">
        <v>0.7006</v>
      </c>
      <c r="H516" s="163">
        <v>2.686E-3</v>
      </c>
      <c r="I516" s="163">
        <v>1.199E-3</v>
      </c>
      <c r="J516" s="31" t="b">
        <v>0</v>
      </c>
      <c r="K516" s="32" t="b">
        <v>0</v>
      </c>
    </row>
    <row r="517" spans="2:11" ht="17" x14ac:dyDescent="0.2">
      <c r="B517" s="335" t="s">
        <v>1071</v>
      </c>
      <c r="C517" s="38" t="s">
        <v>1037</v>
      </c>
      <c r="D517" s="166" t="s">
        <v>965</v>
      </c>
      <c r="E517" s="163">
        <v>-3.9010000000000003E-2</v>
      </c>
      <c r="F517" s="163">
        <v>2.9090000000000001E-2</v>
      </c>
      <c r="G517" s="270">
        <v>0.17979999999999999</v>
      </c>
      <c r="H517" s="163">
        <v>0.16689999999999999</v>
      </c>
      <c r="I517" s="163">
        <v>2.094E-2</v>
      </c>
      <c r="J517" s="31" t="b">
        <v>0</v>
      </c>
      <c r="K517" s="32" t="b">
        <v>0</v>
      </c>
    </row>
    <row r="518" spans="2:11" ht="17" x14ac:dyDescent="0.2">
      <c r="B518" s="335" t="s">
        <v>1070</v>
      </c>
      <c r="C518" s="38" t="s">
        <v>990</v>
      </c>
      <c r="D518" s="166" t="s">
        <v>965</v>
      </c>
      <c r="E518" s="163">
        <v>-3.9149999999999997E-2</v>
      </c>
      <c r="F518" s="163">
        <v>4.2709999999999998E-2</v>
      </c>
      <c r="G518" s="270">
        <v>0.35930000000000001</v>
      </c>
      <c r="H518" s="163">
        <v>4.2999999999999997E-2</v>
      </c>
      <c r="I518" s="163">
        <v>2.751E-2</v>
      </c>
      <c r="J518" s="31" t="b">
        <v>0</v>
      </c>
      <c r="K518" s="32" t="b">
        <v>0</v>
      </c>
    </row>
    <row r="519" spans="2:11" ht="17" x14ac:dyDescent="0.2">
      <c r="B519" s="335" t="s">
        <v>1069</v>
      </c>
      <c r="C519" s="38" t="s">
        <v>551</v>
      </c>
      <c r="D519" s="166" t="s">
        <v>965</v>
      </c>
      <c r="E519" s="163">
        <v>-3.9879999999999999E-2</v>
      </c>
      <c r="F519" s="163">
        <v>2.3210000000000001E-2</v>
      </c>
      <c r="G519" s="270">
        <v>8.5730000000000001E-2</v>
      </c>
      <c r="H519" s="163">
        <v>0.1188</v>
      </c>
      <c r="I519" s="163">
        <v>4.4460000000000003E-3</v>
      </c>
      <c r="J519" s="31" t="b">
        <v>0</v>
      </c>
      <c r="K519" s="32" t="b">
        <v>0</v>
      </c>
    </row>
    <row r="520" spans="2:11" ht="17" x14ac:dyDescent="0.2">
      <c r="B520" s="335" t="s">
        <v>1068</v>
      </c>
      <c r="C520" s="38" t="s">
        <v>551</v>
      </c>
      <c r="D520" s="166" t="s">
        <v>961</v>
      </c>
      <c r="E520" s="163">
        <v>-4.0160000000000001E-2</v>
      </c>
      <c r="F520" s="163">
        <v>5.076E-2</v>
      </c>
      <c r="G520" s="270">
        <v>0.4289</v>
      </c>
      <c r="H520" s="163">
        <v>1.094E-2</v>
      </c>
      <c r="I520" s="163">
        <v>1.7409999999999999E-3</v>
      </c>
      <c r="J520" s="31" t="b">
        <v>0</v>
      </c>
      <c r="K520" s="32" t="b">
        <v>0</v>
      </c>
    </row>
    <row r="521" spans="2:11" ht="17" x14ac:dyDescent="0.2">
      <c r="B521" s="335" t="s">
        <v>1067</v>
      </c>
      <c r="C521" s="38" t="s">
        <v>551</v>
      </c>
      <c r="D521" s="166" t="s">
        <v>965</v>
      </c>
      <c r="E521" s="163">
        <v>-4.045E-2</v>
      </c>
      <c r="F521" s="163">
        <v>2.5819999999999999E-2</v>
      </c>
      <c r="G521" s="270">
        <v>0.1172</v>
      </c>
      <c r="H521" s="163">
        <v>9.2990000000000003E-2</v>
      </c>
      <c r="I521" s="163">
        <v>1.1939999999999999E-2</v>
      </c>
      <c r="J521" s="31" t="b">
        <v>0</v>
      </c>
      <c r="K521" s="32" t="b">
        <v>0</v>
      </c>
    </row>
    <row r="522" spans="2:11" ht="17" x14ac:dyDescent="0.2">
      <c r="B522" s="335" t="s">
        <v>1066</v>
      </c>
      <c r="C522" s="38" t="s">
        <v>1012</v>
      </c>
      <c r="D522" s="166" t="s">
        <v>965</v>
      </c>
      <c r="E522" s="163">
        <v>-4.0500000000000001E-2</v>
      </c>
      <c r="F522" s="163">
        <v>5.6959999999999997E-2</v>
      </c>
      <c r="G522" s="270">
        <v>0.47699999999999998</v>
      </c>
      <c r="H522" s="163">
        <v>0.24790000000000001</v>
      </c>
      <c r="I522" s="163">
        <v>3.8739999999999997E-2</v>
      </c>
      <c r="J522" s="31" t="b">
        <v>0</v>
      </c>
      <c r="K522" s="32" t="b">
        <v>0</v>
      </c>
    </row>
    <row r="523" spans="2:11" ht="17" x14ac:dyDescent="0.2">
      <c r="B523" s="335" t="s">
        <v>1065</v>
      </c>
      <c r="C523" s="38" t="s">
        <v>551</v>
      </c>
      <c r="D523" s="166" t="s">
        <v>965</v>
      </c>
      <c r="E523" s="163">
        <v>-4.0529999999999997E-2</v>
      </c>
      <c r="F523" s="163">
        <v>3.0179999999999998E-2</v>
      </c>
      <c r="G523" s="270">
        <v>0.17929999999999999</v>
      </c>
      <c r="H523" s="163">
        <v>0.14019999999999999</v>
      </c>
      <c r="I523" s="163">
        <v>1.145E-2</v>
      </c>
      <c r="J523" s="31" t="b">
        <v>0</v>
      </c>
      <c r="K523" s="32" t="b">
        <v>0</v>
      </c>
    </row>
    <row r="524" spans="2:11" ht="17" x14ac:dyDescent="0.2">
      <c r="B524" s="335" t="s">
        <v>1064</v>
      </c>
      <c r="C524" s="38" t="s">
        <v>551</v>
      </c>
      <c r="D524" s="166" t="s">
        <v>961</v>
      </c>
      <c r="E524" s="163">
        <v>-4.1549999999999997E-2</v>
      </c>
      <c r="F524" s="163">
        <v>9.1310000000000002E-2</v>
      </c>
      <c r="G524" s="270">
        <v>0.64910000000000001</v>
      </c>
      <c r="H524" s="163">
        <v>2.7239999999999999E-3</v>
      </c>
      <c r="I524" s="163">
        <v>1.191E-3</v>
      </c>
      <c r="J524" s="31" t="b">
        <v>0</v>
      </c>
      <c r="K524" s="32" t="b">
        <v>0</v>
      </c>
    </row>
    <row r="525" spans="2:11" ht="17" x14ac:dyDescent="0.2">
      <c r="B525" s="335" t="s">
        <v>1063</v>
      </c>
      <c r="C525" s="38" t="s">
        <v>551</v>
      </c>
      <c r="D525" s="166" t="s">
        <v>965</v>
      </c>
      <c r="E525" s="163">
        <v>-4.3099999999999999E-2</v>
      </c>
      <c r="F525" s="163">
        <v>3.7490000000000002E-2</v>
      </c>
      <c r="G525" s="270">
        <v>0.25030000000000002</v>
      </c>
      <c r="H525" s="163">
        <v>0.10730000000000001</v>
      </c>
      <c r="I525" s="163">
        <v>8.4390000000000003E-3</v>
      </c>
      <c r="J525" s="31" t="b">
        <v>0</v>
      </c>
      <c r="K525" s="32" t="b">
        <v>0</v>
      </c>
    </row>
    <row r="526" spans="2:11" ht="17" x14ac:dyDescent="0.2">
      <c r="B526" s="335" t="s">
        <v>1062</v>
      </c>
      <c r="C526" s="38" t="s">
        <v>1012</v>
      </c>
      <c r="D526" s="166" t="s">
        <v>965</v>
      </c>
      <c r="E526" s="163">
        <v>-4.3229999999999998E-2</v>
      </c>
      <c r="F526" s="163">
        <v>7.7890000000000001E-2</v>
      </c>
      <c r="G526" s="270">
        <v>0.57889999999999997</v>
      </c>
      <c r="H526" s="163">
        <v>0.14560000000000001</v>
      </c>
      <c r="I526" s="163">
        <v>3.7659999999999999E-2</v>
      </c>
      <c r="J526" s="31" t="b">
        <v>0</v>
      </c>
      <c r="K526" s="32" t="b">
        <v>0</v>
      </c>
    </row>
    <row r="527" spans="2:11" ht="17" x14ac:dyDescent="0.2">
      <c r="B527" s="335" t="s">
        <v>1061</v>
      </c>
      <c r="C527" s="38" t="s">
        <v>551</v>
      </c>
      <c r="D527" s="166" t="s">
        <v>961</v>
      </c>
      <c r="E527" s="163">
        <v>-4.4880000000000003E-2</v>
      </c>
      <c r="F527" s="163">
        <v>5.006E-2</v>
      </c>
      <c r="G527" s="270">
        <v>0.36990000000000001</v>
      </c>
      <c r="H527" s="163">
        <v>1.188E-2</v>
      </c>
      <c r="I527" s="163">
        <v>1.6199999999999999E-3</v>
      </c>
      <c r="J527" s="31" t="b">
        <v>0</v>
      </c>
      <c r="K527" s="32" t="b">
        <v>0</v>
      </c>
    </row>
    <row r="528" spans="2:11" ht="17" x14ac:dyDescent="0.2">
      <c r="B528" s="335" t="s">
        <v>1060</v>
      </c>
      <c r="C528" s="38" t="s">
        <v>551</v>
      </c>
      <c r="D528" s="166" t="s">
        <v>965</v>
      </c>
      <c r="E528" s="163">
        <v>-4.4889999999999999E-2</v>
      </c>
      <c r="F528" s="163">
        <v>3.2500000000000001E-2</v>
      </c>
      <c r="G528" s="270">
        <v>0.1673</v>
      </c>
      <c r="H528" s="163">
        <v>0.1867</v>
      </c>
      <c r="I528" s="163">
        <v>1.11E-2</v>
      </c>
      <c r="J528" s="31" t="b">
        <v>0</v>
      </c>
      <c r="K528" s="32" t="b">
        <v>0</v>
      </c>
    </row>
    <row r="529" spans="2:11" ht="17" x14ac:dyDescent="0.2">
      <c r="B529" s="335" t="s">
        <v>1059</v>
      </c>
      <c r="C529" s="38" t="s">
        <v>551</v>
      </c>
      <c r="D529" s="166" t="s">
        <v>961</v>
      </c>
      <c r="E529" s="163">
        <v>-4.5609999999999998E-2</v>
      </c>
      <c r="F529" s="163">
        <v>4.0250000000000001E-2</v>
      </c>
      <c r="G529" s="270">
        <v>0.25719999999999998</v>
      </c>
      <c r="H529" s="163">
        <v>1.934E-2</v>
      </c>
      <c r="I529" s="163">
        <v>3.2309999999999999E-3</v>
      </c>
      <c r="J529" s="31" t="b">
        <v>0</v>
      </c>
      <c r="K529" s="32" t="b">
        <v>0</v>
      </c>
    </row>
    <row r="530" spans="2:11" ht="17" x14ac:dyDescent="0.2">
      <c r="B530" s="335" t="s">
        <v>1058</v>
      </c>
      <c r="C530" s="38" t="s">
        <v>551</v>
      </c>
      <c r="D530" s="166" t="s">
        <v>965</v>
      </c>
      <c r="E530" s="163">
        <v>-4.5999999999999999E-2</v>
      </c>
      <c r="F530" s="163">
        <v>4.2750000000000003E-2</v>
      </c>
      <c r="G530" s="270">
        <v>0.28179999999999999</v>
      </c>
      <c r="H530" s="163">
        <v>8.788E-2</v>
      </c>
      <c r="I530" s="163">
        <v>1.1379999999999999E-2</v>
      </c>
      <c r="J530" s="31" t="b">
        <v>0</v>
      </c>
      <c r="K530" s="32" t="b">
        <v>0</v>
      </c>
    </row>
    <row r="531" spans="2:11" ht="34" x14ac:dyDescent="0.2">
      <c r="B531" s="335" t="s">
        <v>1057</v>
      </c>
      <c r="C531" s="38" t="s">
        <v>551</v>
      </c>
      <c r="D531" s="166" t="s">
        <v>961</v>
      </c>
      <c r="E531" s="163">
        <v>-4.6089999999999999E-2</v>
      </c>
      <c r="F531" s="163">
        <v>0.1051</v>
      </c>
      <c r="G531" s="270">
        <v>0.66110000000000002</v>
      </c>
      <c r="H531" s="163">
        <v>2.8419999999999999E-3</v>
      </c>
      <c r="I531" s="163">
        <v>1.348E-3</v>
      </c>
      <c r="J531" s="31" t="b">
        <v>0</v>
      </c>
      <c r="K531" s="32" t="b">
        <v>0</v>
      </c>
    </row>
    <row r="532" spans="2:11" ht="17" x14ac:dyDescent="0.2">
      <c r="B532" s="335" t="s">
        <v>1056</v>
      </c>
      <c r="C532" s="38" t="s">
        <v>551</v>
      </c>
      <c r="D532" s="166" t="s">
        <v>965</v>
      </c>
      <c r="E532" s="163">
        <v>-4.6179999999999999E-2</v>
      </c>
      <c r="F532" s="163">
        <v>5.11E-2</v>
      </c>
      <c r="G532" s="270">
        <v>0.36609999999999998</v>
      </c>
      <c r="H532" s="163">
        <v>7.4940000000000007E-2</v>
      </c>
      <c r="I532" s="163">
        <v>1.353E-2</v>
      </c>
      <c r="J532" s="31" t="b">
        <v>0</v>
      </c>
      <c r="K532" s="32" t="b">
        <v>0</v>
      </c>
    </row>
    <row r="533" spans="2:11" ht="17" x14ac:dyDescent="0.2">
      <c r="B533" s="335" t="s">
        <v>1055</v>
      </c>
      <c r="C533" s="38" t="s">
        <v>551</v>
      </c>
      <c r="D533" s="166" t="s">
        <v>961</v>
      </c>
      <c r="E533" s="163">
        <v>-4.8820000000000002E-2</v>
      </c>
      <c r="F533" s="163">
        <v>0.1086</v>
      </c>
      <c r="G533" s="270">
        <v>0.6532</v>
      </c>
      <c r="H533" s="163">
        <v>2.764E-3</v>
      </c>
      <c r="I533" s="163">
        <v>1.2930000000000001E-3</v>
      </c>
      <c r="J533" s="31" t="b">
        <v>0</v>
      </c>
      <c r="K533" s="32" t="b">
        <v>0</v>
      </c>
    </row>
    <row r="534" spans="2:11" ht="17" x14ac:dyDescent="0.2">
      <c r="B534" s="335" t="s">
        <v>1054</v>
      </c>
      <c r="C534" s="38" t="s">
        <v>551</v>
      </c>
      <c r="D534" s="166" t="s">
        <v>965</v>
      </c>
      <c r="E534" s="163">
        <v>-5.0110000000000002E-2</v>
      </c>
      <c r="F534" s="163">
        <v>2.019E-2</v>
      </c>
      <c r="G534" s="270">
        <v>1.307E-2</v>
      </c>
      <c r="H534" s="163">
        <v>0.33350000000000002</v>
      </c>
      <c r="I534" s="163">
        <v>1.839E-2</v>
      </c>
      <c r="J534" s="31" t="b">
        <v>0</v>
      </c>
      <c r="K534" s="32" t="b">
        <v>0</v>
      </c>
    </row>
    <row r="535" spans="2:11" ht="17" x14ac:dyDescent="0.2">
      <c r="B535" s="335" t="s">
        <v>1053</v>
      </c>
      <c r="C535" s="38" t="s">
        <v>551</v>
      </c>
      <c r="D535" s="166" t="s">
        <v>960</v>
      </c>
      <c r="E535" s="163">
        <v>-5.0810000000000001E-2</v>
      </c>
      <c r="F535" s="163">
        <v>8.2309999999999994E-2</v>
      </c>
      <c r="G535" s="270">
        <v>0.53700000000000003</v>
      </c>
      <c r="H535" s="163">
        <v>2.4240000000000001E-2</v>
      </c>
      <c r="I535" s="163">
        <v>9.3209999999999994E-3</v>
      </c>
      <c r="J535" s="31" t="b">
        <v>0</v>
      </c>
      <c r="K535" s="32" t="b">
        <v>0</v>
      </c>
    </row>
    <row r="536" spans="2:11" ht="17" x14ac:dyDescent="0.2">
      <c r="B536" s="335" t="s">
        <v>1052</v>
      </c>
      <c r="C536" s="38" t="s">
        <v>551</v>
      </c>
      <c r="D536" s="166" t="s">
        <v>965</v>
      </c>
      <c r="E536" s="163">
        <v>-5.2339999999999998E-2</v>
      </c>
      <c r="F536" s="163">
        <v>2.299E-2</v>
      </c>
      <c r="G536" s="270">
        <v>2.283E-2</v>
      </c>
      <c r="H536" s="163">
        <v>0.1187</v>
      </c>
      <c r="I536" s="163">
        <v>4.529E-3</v>
      </c>
      <c r="J536" s="31" t="b">
        <v>0</v>
      </c>
      <c r="K536" s="32" t="b">
        <v>0</v>
      </c>
    </row>
    <row r="537" spans="2:11" ht="17" x14ac:dyDescent="0.2">
      <c r="B537" s="335" t="s">
        <v>1051</v>
      </c>
      <c r="C537" s="38" t="s">
        <v>551</v>
      </c>
      <c r="D537" s="166" t="s">
        <v>965</v>
      </c>
      <c r="E537" s="163">
        <v>-5.3190000000000001E-2</v>
      </c>
      <c r="F537" s="163">
        <v>7.1970000000000006E-2</v>
      </c>
      <c r="G537" s="270">
        <v>0.45979999999999999</v>
      </c>
      <c r="H537" s="163">
        <v>0.1411</v>
      </c>
      <c r="I537" s="163">
        <v>6.8290000000000003E-2</v>
      </c>
      <c r="J537" s="31" t="b">
        <v>0</v>
      </c>
      <c r="K537" s="32" t="b">
        <v>0</v>
      </c>
    </row>
    <row r="538" spans="2:11" ht="17" x14ac:dyDescent="0.2">
      <c r="B538" s="335" t="s">
        <v>1050</v>
      </c>
      <c r="C538" s="38" t="s">
        <v>551</v>
      </c>
      <c r="D538" s="166" t="s">
        <v>965</v>
      </c>
      <c r="E538" s="163">
        <v>-5.3659999999999999E-2</v>
      </c>
      <c r="F538" s="163">
        <v>5.7230000000000003E-2</v>
      </c>
      <c r="G538" s="270">
        <v>0.34839999999999999</v>
      </c>
      <c r="H538" s="163">
        <v>3.5630000000000002E-2</v>
      </c>
      <c r="I538" s="163">
        <v>5.947E-3</v>
      </c>
      <c r="J538" s="31" t="b">
        <v>0</v>
      </c>
      <c r="K538" s="32" t="b">
        <v>0</v>
      </c>
    </row>
    <row r="539" spans="2:11" ht="17" x14ac:dyDescent="0.2">
      <c r="B539" s="335" t="s">
        <v>1049</v>
      </c>
      <c r="C539" s="38" t="s">
        <v>551</v>
      </c>
      <c r="D539" s="166" t="s">
        <v>961</v>
      </c>
      <c r="E539" s="163">
        <v>-5.3690000000000002E-2</v>
      </c>
      <c r="F539" s="163">
        <v>9.7470000000000001E-2</v>
      </c>
      <c r="G539" s="270">
        <v>0.58179999999999998</v>
      </c>
      <c r="H539" s="163">
        <v>2.764E-3</v>
      </c>
      <c r="I539" s="163">
        <v>1.235E-3</v>
      </c>
      <c r="J539" s="31" t="b">
        <v>0</v>
      </c>
      <c r="K539" s="32" t="b">
        <v>0</v>
      </c>
    </row>
    <row r="540" spans="2:11" ht="17" x14ac:dyDescent="0.2">
      <c r="B540" s="335" t="s">
        <v>1048</v>
      </c>
      <c r="C540" s="38" t="s">
        <v>551</v>
      </c>
      <c r="D540" s="166" t="s">
        <v>961</v>
      </c>
      <c r="E540" s="163">
        <v>-5.4059999999999997E-2</v>
      </c>
      <c r="F540" s="163">
        <v>6.8529999999999994E-2</v>
      </c>
      <c r="G540" s="270">
        <v>0.43020000000000003</v>
      </c>
      <c r="H540" s="163">
        <v>1.208E-2</v>
      </c>
      <c r="I540" s="163">
        <v>3.6909999999999998E-3</v>
      </c>
      <c r="J540" s="31" t="b">
        <v>0</v>
      </c>
      <c r="K540" s="32" t="b">
        <v>0</v>
      </c>
    </row>
    <row r="541" spans="2:11" ht="17" x14ac:dyDescent="0.2">
      <c r="B541" s="335" t="s">
        <v>1047</v>
      </c>
      <c r="C541" s="38" t="s">
        <v>1037</v>
      </c>
      <c r="D541" s="166" t="s">
        <v>965</v>
      </c>
      <c r="E541" s="163">
        <v>-5.4309999999999997E-2</v>
      </c>
      <c r="F541" s="163">
        <v>3.3439999999999998E-2</v>
      </c>
      <c r="G541" s="270">
        <v>0.10440000000000001</v>
      </c>
      <c r="H541" s="163">
        <v>0.14510000000000001</v>
      </c>
      <c r="I541" s="163">
        <v>1.1379999999999999E-2</v>
      </c>
      <c r="J541" s="31" t="b">
        <v>0</v>
      </c>
      <c r="K541" s="32" t="b">
        <v>0</v>
      </c>
    </row>
    <row r="542" spans="2:11" ht="17" x14ac:dyDescent="0.2">
      <c r="B542" s="335" t="s">
        <v>1046</v>
      </c>
      <c r="C542" s="38" t="s">
        <v>551</v>
      </c>
      <c r="D542" s="166" t="s">
        <v>961</v>
      </c>
      <c r="E542" s="163">
        <v>-5.4330000000000003E-2</v>
      </c>
      <c r="F542" s="163">
        <v>3.2199999999999999E-2</v>
      </c>
      <c r="G542" s="270">
        <v>9.1539999999999996E-2</v>
      </c>
      <c r="H542" s="163">
        <v>4.113E-2</v>
      </c>
      <c r="I542" s="163">
        <v>2.2699999999999999E-3</v>
      </c>
      <c r="J542" s="31" t="b">
        <v>0</v>
      </c>
      <c r="K542" s="32" t="b">
        <v>0</v>
      </c>
    </row>
    <row r="543" spans="2:11" ht="17" x14ac:dyDescent="0.2">
      <c r="B543" s="335" t="s">
        <v>1045</v>
      </c>
      <c r="C543" s="38" t="s">
        <v>1037</v>
      </c>
      <c r="D543" s="166" t="s">
        <v>965</v>
      </c>
      <c r="E543" s="163">
        <v>-5.5910000000000001E-2</v>
      </c>
      <c r="F543" s="163">
        <v>3.279E-2</v>
      </c>
      <c r="G543" s="270">
        <v>8.8160000000000002E-2</v>
      </c>
      <c r="H543" s="163">
        <v>0.18640000000000001</v>
      </c>
      <c r="I543" s="163">
        <v>2.179E-2</v>
      </c>
      <c r="J543" s="31" t="b">
        <v>0</v>
      </c>
      <c r="K543" s="32" t="b">
        <v>0</v>
      </c>
    </row>
    <row r="544" spans="2:11" ht="17" x14ac:dyDescent="0.2">
      <c r="B544" s="335" t="s">
        <v>1044</v>
      </c>
      <c r="C544" s="38" t="s">
        <v>964</v>
      </c>
      <c r="D544" s="166" t="s">
        <v>965</v>
      </c>
      <c r="E544" s="163">
        <v>-5.6320000000000002E-2</v>
      </c>
      <c r="F544" s="163">
        <v>0.1021</v>
      </c>
      <c r="G544" s="270">
        <v>0.58120000000000005</v>
      </c>
      <c r="H544" s="163">
        <v>9.4880000000000006E-2</v>
      </c>
      <c r="I544" s="163">
        <v>6.1670000000000003E-2</v>
      </c>
      <c r="J544" s="31" t="b">
        <v>0</v>
      </c>
      <c r="K544" s="32" t="b">
        <v>0</v>
      </c>
    </row>
    <row r="545" spans="2:11" ht="17" x14ac:dyDescent="0.2">
      <c r="B545" s="335" t="s">
        <v>1043</v>
      </c>
      <c r="C545" s="38" t="s">
        <v>551</v>
      </c>
      <c r="D545" s="166" t="s">
        <v>965</v>
      </c>
      <c r="E545" s="163">
        <v>-5.8139999999999997E-2</v>
      </c>
      <c r="F545" s="163">
        <v>3.773E-2</v>
      </c>
      <c r="G545" s="270">
        <v>0.12330000000000001</v>
      </c>
      <c r="H545" s="163">
        <v>0.1166</v>
      </c>
      <c r="I545" s="163">
        <v>9.8410000000000008E-3</v>
      </c>
      <c r="J545" s="31" t="b">
        <v>0</v>
      </c>
      <c r="K545" s="32" t="b">
        <v>0</v>
      </c>
    </row>
    <row r="546" spans="2:11" ht="17" x14ac:dyDescent="0.2">
      <c r="B546" s="335" t="s">
        <v>1042</v>
      </c>
      <c r="C546" s="38" t="s">
        <v>551</v>
      </c>
      <c r="D546" s="166" t="s">
        <v>961</v>
      </c>
      <c r="E546" s="163">
        <v>-5.8540000000000002E-2</v>
      </c>
      <c r="F546" s="163">
        <v>3.7650000000000003E-2</v>
      </c>
      <c r="G546" s="270">
        <v>0.12</v>
      </c>
      <c r="H546" s="163">
        <v>2.6190000000000001E-2</v>
      </c>
      <c r="I546" s="163">
        <v>4.3889999999999997E-3</v>
      </c>
      <c r="J546" s="31" t="b">
        <v>0</v>
      </c>
      <c r="K546" s="32" t="b">
        <v>0</v>
      </c>
    </row>
    <row r="547" spans="2:11" ht="17" x14ac:dyDescent="0.2">
      <c r="B547" s="335" t="s">
        <v>1041</v>
      </c>
      <c r="C547" s="38" t="s">
        <v>551</v>
      </c>
      <c r="D547" s="166" t="s">
        <v>961</v>
      </c>
      <c r="E547" s="163">
        <v>-6.1519999999999998E-2</v>
      </c>
      <c r="F547" s="163">
        <v>4.9700000000000001E-2</v>
      </c>
      <c r="G547" s="270">
        <v>0.21579999999999999</v>
      </c>
      <c r="H547" s="163">
        <v>1.0789999999999999E-2</v>
      </c>
      <c r="I547" s="163">
        <v>1.725E-3</v>
      </c>
      <c r="J547" s="31" t="b">
        <v>0</v>
      </c>
      <c r="K547" s="32" t="b">
        <v>0</v>
      </c>
    </row>
    <row r="548" spans="2:11" ht="17" x14ac:dyDescent="0.2">
      <c r="B548" s="335" t="s">
        <v>1040</v>
      </c>
      <c r="C548" s="38" t="s">
        <v>551</v>
      </c>
      <c r="D548" s="166" t="s">
        <v>961</v>
      </c>
      <c r="E548" s="163">
        <v>-6.241E-2</v>
      </c>
      <c r="F548" s="163">
        <v>4.1599999999999998E-2</v>
      </c>
      <c r="G548" s="270">
        <v>0.13350000000000001</v>
      </c>
      <c r="H548" s="163">
        <v>1.193E-2</v>
      </c>
      <c r="I548" s="163">
        <v>1.702E-3</v>
      </c>
      <c r="J548" s="31" t="b">
        <v>0</v>
      </c>
      <c r="K548" s="32" t="b">
        <v>0</v>
      </c>
    </row>
    <row r="549" spans="2:11" ht="17" x14ac:dyDescent="0.2">
      <c r="B549" s="335" t="s">
        <v>1039</v>
      </c>
      <c r="C549" s="38" t="s">
        <v>551</v>
      </c>
      <c r="D549" s="166" t="s">
        <v>960</v>
      </c>
      <c r="E549" s="163">
        <v>-6.2939999999999996E-2</v>
      </c>
      <c r="F549" s="163">
        <v>7.3779999999999998E-2</v>
      </c>
      <c r="G549" s="270">
        <v>0.39360000000000001</v>
      </c>
      <c r="H549" s="163">
        <v>3.0429999999999999E-2</v>
      </c>
      <c r="I549" s="163">
        <v>9.4640000000000002E-3</v>
      </c>
      <c r="J549" s="31" t="b">
        <v>0</v>
      </c>
      <c r="K549" s="32" t="b">
        <v>0</v>
      </c>
    </row>
    <row r="550" spans="2:11" ht="17" x14ac:dyDescent="0.2">
      <c r="B550" s="335" t="s">
        <v>1038</v>
      </c>
      <c r="C550" s="38" t="s">
        <v>551</v>
      </c>
      <c r="D550" s="166" t="s">
        <v>961</v>
      </c>
      <c r="E550" s="163">
        <v>-6.3060000000000005E-2</v>
      </c>
      <c r="F550" s="163">
        <v>4.2200000000000001E-2</v>
      </c>
      <c r="G550" s="270">
        <v>0.1351</v>
      </c>
      <c r="H550" s="163">
        <v>1.221E-2</v>
      </c>
      <c r="I550" s="163">
        <v>1.8060000000000001E-3</v>
      </c>
      <c r="J550" s="31" t="b">
        <v>0</v>
      </c>
      <c r="K550" s="32" t="b">
        <v>0</v>
      </c>
    </row>
    <row r="551" spans="2:11" ht="17" x14ac:dyDescent="0.2">
      <c r="B551" s="335" t="s">
        <v>1036</v>
      </c>
      <c r="C551" s="38" t="s">
        <v>1037</v>
      </c>
      <c r="D551" s="166" t="s">
        <v>965</v>
      </c>
      <c r="E551" s="163">
        <v>-6.5100000000000005E-2</v>
      </c>
      <c r="F551" s="163">
        <v>3.918E-2</v>
      </c>
      <c r="G551" s="270">
        <v>9.6600000000000005E-2</v>
      </c>
      <c r="H551" s="163">
        <v>0.17949999999999999</v>
      </c>
      <c r="I551" s="163">
        <v>1.4659999999999999E-2</v>
      </c>
      <c r="J551" s="31" t="b">
        <v>0</v>
      </c>
      <c r="K551" s="32" t="b">
        <v>0</v>
      </c>
    </row>
    <row r="552" spans="2:11" ht="17" x14ac:dyDescent="0.2">
      <c r="B552" s="335" t="s">
        <v>1035</v>
      </c>
      <c r="C552" s="38" t="s">
        <v>551</v>
      </c>
      <c r="D552" s="166" t="s">
        <v>965</v>
      </c>
      <c r="E552" s="163">
        <v>-6.5710000000000005E-2</v>
      </c>
      <c r="F552" s="163">
        <v>7.3870000000000005E-2</v>
      </c>
      <c r="G552" s="270">
        <v>0.37369999999999998</v>
      </c>
      <c r="H552" s="163">
        <v>3.6290000000000003E-2</v>
      </c>
      <c r="I552" s="163">
        <v>8.9789999999999991E-3</v>
      </c>
      <c r="J552" s="31" t="b">
        <v>0</v>
      </c>
      <c r="K552" s="32" t="b">
        <v>0</v>
      </c>
    </row>
    <row r="553" spans="2:11" ht="17" x14ac:dyDescent="0.2">
      <c r="B553" s="335" t="s">
        <v>1034</v>
      </c>
      <c r="C553" s="38" t="s">
        <v>551</v>
      </c>
      <c r="D553" s="166" t="s">
        <v>965</v>
      </c>
      <c r="E553" s="163">
        <v>-6.6269999999999996E-2</v>
      </c>
      <c r="F553" s="163">
        <v>2.3220000000000001E-2</v>
      </c>
      <c r="G553" s="270">
        <v>4.3189999999999999E-3</v>
      </c>
      <c r="H553" s="163">
        <v>0.44779999999999998</v>
      </c>
      <c r="I553" s="163">
        <v>2.5479999999999999E-2</v>
      </c>
      <c r="J553" s="31" t="b">
        <v>0</v>
      </c>
      <c r="K553" s="32" t="b">
        <v>0</v>
      </c>
    </row>
    <row r="554" spans="2:11" ht="17" x14ac:dyDescent="0.2">
      <c r="B554" s="335" t="s">
        <v>1033</v>
      </c>
      <c r="C554" s="38" t="s">
        <v>551</v>
      </c>
      <c r="D554" s="166" t="s">
        <v>961</v>
      </c>
      <c r="E554" s="163">
        <v>-6.6489999999999994E-2</v>
      </c>
      <c r="F554" s="163">
        <v>5.0650000000000001E-2</v>
      </c>
      <c r="G554" s="270">
        <v>0.1893</v>
      </c>
      <c r="H554" s="163">
        <v>7.9450000000000007E-3</v>
      </c>
      <c r="I554" s="163">
        <v>1.5920000000000001E-3</v>
      </c>
      <c r="J554" s="31" t="b">
        <v>0</v>
      </c>
      <c r="K554" s="32" t="b">
        <v>0</v>
      </c>
    </row>
    <row r="555" spans="2:11" ht="17" x14ac:dyDescent="0.2">
      <c r="B555" s="335" t="s">
        <v>1032</v>
      </c>
      <c r="C555" s="38" t="s">
        <v>551</v>
      </c>
      <c r="D555" s="166" t="s">
        <v>965</v>
      </c>
      <c r="E555" s="163">
        <v>-6.7169999999999994E-2</v>
      </c>
      <c r="F555" s="163">
        <v>2.0029999999999999E-2</v>
      </c>
      <c r="G555" s="151">
        <v>7.9739999999999998E-4</v>
      </c>
      <c r="H555" s="163">
        <v>0.47089999999999999</v>
      </c>
      <c r="I555" s="163">
        <v>2.29E-2</v>
      </c>
      <c r="J555" s="31" t="b">
        <v>0</v>
      </c>
      <c r="K555" s="32" t="b">
        <v>0</v>
      </c>
    </row>
    <row r="556" spans="2:11" ht="34" x14ac:dyDescent="0.2">
      <c r="B556" s="335" t="s">
        <v>1031</v>
      </c>
      <c r="C556" s="38" t="s">
        <v>551</v>
      </c>
      <c r="D556" s="166" t="s">
        <v>961</v>
      </c>
      <c r="E556" s="163">
        <v>-6.8140000000000006E-2</v>
      </c>
      <c r="F556" s="163">
        <v>7.5120000000000006E-2</v>
      </c>
      <c r="G556" s="270">
        <v>0.36430000000000001</v>
      </c>
      <c r="H556" s="163">
        <v>4.1510000000000002E-3</v>
      </c>
      <c r="I556" s="163">
        <v>1.111E-3</v>
      </c>
      <c r="J556" s="31" t="b">
        <v>0</v>
      </c>
      <c r="K556" s="32" t="b">
        <v>0</v>
      </c>
    </row>
    <row r="557" spans="2:11" ht="17" x14ac:dyDescent="0.2">
      <c r="B557" s="335" t="s">
        <v>1030</v>
      </c>
      <c r="C557" s="38" t="s">
        <v>551</v>
      </c>
      <c r="D557" s="166" t="s">
        <v>961</v>
      </c>
      <c r="E557" s="163">
        <v>-6.898E-2</v>
      </c>
      <c r="F557" s="163">
        <v>9.0389999999999998E-2</v>
      </c>
      <c r="G557" s="270">
        <v>0.44540000000000002</v>
      </c>
      <c r="H557" s="163">
        <v>2.9399999999999999E-3</v>
      </c>
      <c r="I557" s="163">
        <v>1.2110000000000001E-3</v>
      </c>
      <c r="J557" s="31" t="b">
        <v>0</v>
      </c>
      <c r="K557" s="32" t="b">
        <v>0</v>
      </c>
    </row>
    <row r="558" spans="2:11" ht="17" x14ac:dyDescent="0.2">
      <c r="B558" s="335" t="s">
        <v>1029</v>
      </c>
      <c r="C558" s="38" t="s">
        <v>551</v>
      </c>
      <c r="D558" s="166" t="s">
        <v>961</v>
      </c>
      <c r="E558" s="163">
        <v>-7.3169999999999999E-2</v>
      </c>
      <c r="F558" s="163">
        <v>8.3210000000000006E-2</v>
      </c>
      <c r="G558" s="270">
        <v>0.37930000000000003</v>
      </c>
      <c r="H558" s="163">
        <v>1.14E-2</v>
      </c>
      <c r="I558" s="163">
        <v>3.8790000000000001E-3</v>
      </c>
      <c r="J558" s="31" t="b">
        <v>0</v>
      </c>
      <c r="K558" s="32" t="b">
        <v>0</v>
      </c>
    </row>
    <row r="559" spans="2:11" ht="17" x14ac:dyDescent="0.2">
      <c r="B559" s="335" t="s">
        <v>1028</v>
      </c>
      <c r="C559" s="38" t="s">
        <v>551</v>
      </c>
      <c r="D559" s="166" t="s">
        <v>961</v>
      </c>
      <c r="E559" s="163">
        <v>-7.3249999999999996E-2</v>
      </c>
      <c r="F559" s="163">
        <v>8.7059999999999998E-2</v>
      </c>
      <c r="G559" s="270">
        <v>0.40010000000000001</v>
      </c>
      <c r="H559" s="163">
        <v>4.0229999999999997E-3</v>
      </c>
      <c r="I559" s="163">
        <v>1.1479999999999999E-3</v>
      </c>
      <c r="J559" s="31" t="b">
        <v>0</v>
      </c>
      <c r="K559" s="32" t="b">
        <v>0</v>
      </c>
    </row>
    <row r="560" spans="2:11" ht="17" x14ac:dyDescent="0.2">
      <c r="B560" s="335" t="s">
        <v>1027</v>
      </c>
      <c r="C560" s="38" t="s">
        <v>551</v>
      </c>
      <c r="D560" s="166" t="s">
        <v>960</v>
      </c>
      <c r="E560" s="163">
        <v>-7.4310000000000001E-2</v>
      </c>
      <c r="F560" s="163">
        <v>7.0879999999999999E-2</v>
      </c>
      <c r="G560" s="270">
        <v>0.29449999999999998</v>
      </c>
      <c r="H560" s="163">
        <v>3.7089999999999998E-2</v>
      </c>
      <c r="I560" s="163">
        <v>9.6030000000000004E-3</v>
      </c>
      <c r="J560" s="31" t="b">
        <v>0</v>
      </c>
      <c r="K560" s="32" t="b">
        <v>0</v>
      </c>
    </row>
    <row r="561" spans="2:11" ht="17" x14ac:dyDescent="0.2">
      <c r="B561" s="335" t="s">
        <v>1026</v>
      </c>
      <c r="C561" s="38" t="s">
        <v>551</v>
      </c>
      <c r="D561" s="166" t="s">
        <v>965</v>
      </c>
      <c r="E561" s="163">
        <v>-7.4709999999999999E-2</v>
      </c>
      <c r="F561" s="163">
        <v>6.762E-2</v>
      </c>
      <c r="G561" s="270">
        <v>0.26919999999999999</v>
      </c>
      <c r="H561" s="163">
        <v>3.0630000000000001E-2</v>
      </c>
      <c r="I561" s="163">
        <v>6.5620000000000001E-3</v>
      </c>
      <c r="J561" s="31" t="b">
        <v>0</v>
      </c>
      <c r="K561" s="32" t="b">
        <v>0</v>
      </c>
    </row>
    <row r="562" spans="2:11" ht="17" x14ac:dyDescent="0.2">
      <c r="B562" s="335" t="s">
        <v>1025</v>
      </c>
      <c r="C562" s="38" t="s">
        <v>551</v>
      </c>
      <c r="D562" s="166" t="s">
        <v>965</v>
      </c>
      <c r="E562" s="163">
        <v>-7.51E-2</v>
      </c>
      <c r="F562" s="163">
        <v>7.9460000000000003E-2</v>
      </c>
      <c r="G562" s="270">
        <v>0.34460000000000002</v>
      </c>
      <c r="H562" s="163">
        <v>2.9080000000000002E-2</v>
      </c>
      <c r="I562" s="163">
        <v>8.7639999999999992E-3</v>
      </c>
      <c r="J562" s="31" t="b">
        <v>0</v>
      </c>
      <c r="K562" s="32" t="b">
        <v>0</v>
      </c>
    </row>
    <row r="563" spans="2:11" ht="17" x14ac:dyDescent="0.2">
      <c r="B563" s="335" t="s">
        <v>1024</v>
      </c>
      <c r="C563" s="38" t="s">
        <v>551</v>
      </c>
      <c r="D563" s="166" t="s">
        <v>961</v>
      </c>
      <c r="E563" s="163">
        <v>-7.5609999999999997E-2</v>
      </c>
      <c r="F563" s="163">
        <v>9.1249999999999998E-2</v>
      </c>
      <c r="G563" s="270">
        <v>0.4073</v>
      </c>
      <c r="H563" s="163">
        <v>4.0509999999999999E-3</v>
      </c>
      <c r="I563" s="163">
        <v>1.3990000000000001E-3</v>
      </c>
      <c r="J563" s="31" t="b">
        <v>0</v>
      </c>
      <c r="K563" s="32" t="b">
        <v>0</v>
      </c>
    </row>
    <row r="564" spans="2:11" ht="17" x14ac:dyDescent="0.2">
      <c r="B564" s="335" t="s">
        <v>1023</v>
      </c>
      <c r="C564" s="38" t="s">
        <v>551</v>
      </c>
      <c r="D564" s="166" t="s">
        <v>965</v>
      </c>
      <c r="E564" s="163">
        <v>-7.7880000000000005E-2</v>
      </c>
      <c r="F564" s="163">
        <v>2.6259999999999999E-2</v>
      </c>
      <c r="G564" s="270">
        <v>3.0219999999999999E-3</v>
      </c>
      <c r="H564" s="163">
        <v>0.1045</v>
      </c>
      <c r="I564" s="163">
        <v>5.0660000000000002E-3</v>
      </c>
      <c r="J564" s="31" t="b">
        <v>0</v>
      </c>
      <c r="K564" s="32" t="b">
        <v>0</v>
      </c>
    </row>
    <row r="565" spans="2:11" ht="17" x14ac:dyDescent="0.2">
      <c r="B565" s="335" t="s">
        <v>1022</v>
      </c>
      <c r="C565" s="38" t="s">
        <v>551</v>
      </c>
      <c r="D565" s="166" t="s">
        <v>965</v>
      </c>
      <c r="E565" s="163">
        <v>-7.8780000000000003E-2</v>
      </c>
      <c r="F565" s="163">
        <v>8.0130000000000007E-2</v>
      </c>
      <c r="G565" s="270">
        <v>0.32550000000000001</v>
      </c>
      <c r="H565" s="163">
        <v>4.5420000000000002E-2</v>
      </c>
      <c r="I565" s="163">
        <v>1.188E-2</v>
      </c>
      <c r="J565" s="31" t="b">
        <v>0</v>
      </c>
      <c r="K565" s="32" t="b">
        <v>0</v>
      </c>
    </row>
    <row r="566" spans="2:11" ht="17" x14ac:dyDescent="0.2">
      <c r="B566" s="335" t="s">
        <v>1021</v>
      </c>
      <c r="C566" s="38" t="s">
        <v>551</v>
      </c>
      <c r="D566" s="166" t="s">
        <v>961</v>
      </c>
      <c r="E566" s="163">
        <v>-7.9409999999999994E-2</v>
      </c>
      <c r="F566" s="163">
        <v>4.394E-2</v>
      </c>
      <c r="G566" s="270">
        <v>7.0699999999999999E-2</v>
      </c>
      <c r="H566" s="163">
        <v>3.0110000000000001E-2</v>
      </c>
      <c r="I566" s="163">
        <v>3.0820000000000001E-3</v>
      </c>
      <c r="J566" s="31" t="b">
        <v>0</v>
      </c>
      <c r="K566" s="32" t="b">
        <v>0</v>
      </c>
    </row>
    <row r="567" spans="2:11" ht="17" x14ac:dyDescent="0.2">
      <c r="B567" s="335" t="s">
        <v>1020</v>
      </c>
      <c r="C567" s="38" t="s">
        <v>551</v>
      </c>
      <c r="D567" s="166" t="s">
        <v>961</v>
      </c>
      <c r="E567" s="163">
        <v>-7.9759999999999998E-2</v>
      </c>
      <c r="F567" s="163">
        <v>5.7410000000000003E-2</v>
      </c>
      <c r="G567" s="270">
        <v>0.1648</v>
      </c>
      <c r="H567" s="163">
        <v>8.685E-3</v>
      </c>
      <c r="I567" s="163">
        <v>1.5590000000000001E-3</v>
      </c>
      <c r="J567" s="31" t="b">
        <v>0</v>
      </c>
      <c r="K567" s="32" t="b">
        <v>0</v>
      </c>
    </row>
    <row r="568" spans="2:11" ht="17" x14ac:dyDescent="0.2">
      <c r="B568" s="335" t="s">
        <v>1019</v>
      </c>
      <c r="C568" s="38" t="s">
        <v>551</v>
      </c>
      <c r="D568" s="166" t="s">
        <v>961</v>
      </c>
      <c r="E568" s="163">
        <v>-7.9960000000000003E-2</v>
      </c>
      <c r="F568" s="163">
        <v>5.7660000000000003E-2</v>
      </c>
      <c r="G568" s="270">
        <v>0.16550000000000001</v>
      </c>
      <c r="H568" s="163">
        <v>8.4449999999999994E-3</v>
      </c>
      <c r="I568" s="163">
        <v>1.567E-3</v>
      </c>
      <c r="J568" s="31" t="b">
        <v>0</v>
      </c>
      <c r="K568" s="32" t="b">
        <v>0</v>
      </c>
    </row>
    <row r="569" spans="2:11" ht="17" x14ac:dyDescent="0.2">
      <c r="B569" s="335" t="s">
        <v>1018</v>
      </c>
      <c r="C569" s="38" t="s">
        <v>551</v>
      </c>
      <c r="D569" s="166" t="s">
        <v>965</v>
      </c>
      <c r="E569" s="163">
        <v>-8.0920000000000006E-2</v>
      </c>
      <c r="F569" s="163">
        <v>2.0750000000000001E-2</v>
      </c>
      <c r="G569" s="151">
        <v>9.6379999999999995E-5</v>
      </c>
      <c r="H569" s="163">
        <v>0.23499999999999999</v>
      </c>
      <c r="I569" s="163">
        <v>9.1059999999999995E-3</v>
      </c>
      <c r="J569" s="31" t="b">
        <v>0</v>
      </c>
      <c r="K569" s="32" t="b">
        <v>0</v>
      </c>
    </row>
    <row r="570" spans="2:11" ht="17" x14ac:dyDescent="0.2">
      <c r="B570" s="335" t="s">
        <v>1017</v>
      </c>
      <c r="C570" s="38" t="s">
        <v>551</v>
      </c>
      <c r="D570" s="166" t="s">
        <v>960</v>
      </c>
      <c r="E570" s="163">
        <v>-8.1589999999999996E-2</v>
      </c>
      <c r="F570" s="163">
        <v>8.2860000000000003E-2</v>
      </c>
      <c r="G570" s="270">
        <v>0.32479999999999998</v>
      </c>
      <c r="H570" s="163">
        <v>2.375E-2</v>
      </c>
      <c r="I570" s="163">
        <v>9.1509999999999994E-3</v>
      </c>
      <c r="J570" s="31" t="b">
        <v>0</v>
      </c>
      <c r="K570" s="32" t="b">
        <v>0</v>
      </c>
    </row>
    <row r="571" spans="2:11" ht="17" x14ac:dyDescent="0.2">
      <c r="B571" s="335" t="s">
        <v>1015</v>
      </c>
      <c r="C571" s="38" t="s">
        <v>551</v>
      </c>
      <c r="D571" s="166" t="s">
        <v>960</v>
      </c>
      <c r="E571" s="163">
        <v>-8.3559999999999995E-2</v>
      </c>
      <c r="F571" s="163">
        <v>6.3700000000000007E-2</v>
      </c>
      <c r="G571" s="270">
        <v>0.18959999999999999</v>
      </c>
      <c r="H571" s="163">
        <v>4.8520000000000001E-2</v>
      </c>
      <c r="I571" s="163">
        <v>9.3270000000000002E-3</v>
      </c>
      <c r="J571" s="31" t="b">
        <v>0</v>
      </c>
      <c r="K571" s="32" t="b">
        <v>0</v>
      </c>
    </row>
    <row r="572" spans="2:11" ht="17" x14ac:dyDescent="0.2">
      <c r="B572" s="335" t="s">
        <v>1014</v>
      </c>
      <c r="C572" s="38" t="s">
        <v>551</v>
      </c>
      <c r="D572" s="166" t="s">
        <v>961</v>
      </c>
      <c r="E572" s="163">
        <v>-8.8050000000000003E-2</v>
      </c>
      <c r="F572" s="163">
        <v>6.1519999999999998E-2</v>
      </c>
      <c r="G572" s="270">
        <v>0.15240000000000001</v>
      </c>
      <c r="H572" s="163">
        <v>7.4419999999999998E-3</v>
      </c>
      <c r="I572" s="163">
        <v>1.5100000000000001E-3</v>
      </c>
      <c r="J572" s="31" t="b">
        <v>0</v>
      </c>
      <c r="K572" s="32" t="b">
        <v>0</v>
      </c>
    </row>
    <row r="573" spans="2:11" ht="17" x14ac:dyDescent="0.2">
      <c r="B573" s="335" t="s">
        <v>1013</v>
      </c>
      <c r="C573" s="38" t="s">
        <v>551</v>
      </c>
      <c r="D573" s="166" t="s">
        <v>961</v>
      </c>
      <c r="E573" s="163">
        <v>-8.8840000000000002E-2</v>
      </c>
      <c r="F573" s="163">
        <v>4.7300000000000002E-2</v>
      </c>
      <c r="G573" s="270">
        <v>6.0380000000000003E-2</v>
      </c>
      <c r="H573" s="163">
        <v>4.163E-2</v>
      </c>
      <c r="I573" s="163">
        <v>5.3379999999999999E-3</v>
      </c>
      <c r="J573" s="31" t="b">
        <v>0</v>
      </c>
      <c r="K573" s="32" t="b">
        <v>0</v>
      </c>
    </row>
    <row r="574" spans="2:11" ht="17" x14ac:dyDescent="0.2">
      <c r="B574" s="335" t="s">
        <v>1011</v>
      </c>
      <c r="C574" s="38" t="s">
        <v>1012</v>
      </c>
      <c r="D574" s="166" t="s">
        <v>965</v>
      </c>
      <c r="E574" s="163">
        <v>-9.0679999999999997E-2</v>
      </c>
      <c r="F574" s="163">
        <v>6.6960000000000006E-2</v>
      </c>
      <c r="G574" s="270">
        <v>0.1757</v>
      </c>
      <c r="H574" s="163">
        <v>0.151</v>
      </c>
      <c r="I574" s="163">
        <v>3.7819999999999999E-2</v>
      </c>
      <c r="J574" s="31" t="b">
        <v>0</v>
      </c>
      <c r="K574" s="32" t="b">
        <v>0</v>
      </c>
    </row>
    <row r="575" spans="2:11" ht="17" x14ac:dyDescent="0.2">
      <c r="B575" s="335" t="s">
        <v>1009</v>
      </c>
      <c r="C575" s="38" t="s">
        <v>551</v>
      </c>
      <c r="D575" s="166" t="s">
        <v>960</v>
      </c>
      <c r="E575" s="163">
        <v>-9.9690000000000001E-2</v>
      </c>
      <c r="F575" s="163">
        <v>3.5999999999999997E-2</v>
      </c>
      <c r="G575" s="270">
        <v>5.6160000000000003E-3</v>
      </c>
      <c r="H575" s="163">
        <v>0.1178</v>
      </c>
      <c r="I575" s="163">
        <v>1.14E-2</v>
      </c>
      <c r="J575" s="31" t="b">
        <v>0</v>
      </c>
      <c r="K575" s="32" t="b">
        <v>0</v>
      </c>
    </row>
    <row r="576" spans="2:11" ht="17" x14ac:dyDescent="0.2">
      <c r="B576" s="335" t="s">
        <v>1006</v>
      </c>
      <c r="C576" s="38" t="s">
        <v>551</v>
      </c>
      <c r="D576" s="166" t="s">
        <v>961</v>
      </c>
      <c r="E576" s="163">
        <v>-0.106</v>
      </c>
      <c r="F576" s="163">
        <v>8.5980000000000001E-2</v>
      </c>
      <c r="G576" s="270">
        <v>0.2175</v>
      </c>
      <c r="H576" s="163">
        <v>3.3029999999999999E-3</v>
      </c>
      <c r="I576" s="163">
        <v>1.2229999999999999E-3</v>
      </c>
      <c r="J576" s="31" t="b">
        <v>0</v>
      </c>
      <c r="K576" s="32" t="b">
        <v>0</v>
      </c>
    </row>
    <row r="577" spans="2:11" ht="17" x14ac:dyDescent="0.2">
      <c r="B577" s="335" t="s">
        <v>1005</v>
      </c>
      <c r="C577" s="38" t="s">
        <v>551</v>
      </c>
      <c r="D577" s="166" t="s">
        <v>960</v>
      </c>
      <c r="E577" s="163">
        <v>-0.1077</v>
      </c>
      <c r="F577" s="163">
        <v>6.1589999999999999E-2</v>
      </c>
      <c r="G577" s="270">
        <v>8.0420000000000005E-2</v>
      </c>
      <c r="H577" s="163">
        <v>4.2950000000000002E-2</v>
      </c>
      <c r="I577" s="163">
        <v>9.5289999999999993E-3</v>
      </c>
      <c r="J577" s="31" t="b">
        <v>0</v>
      </c>
      <c r="K577" s="32" t="b">
        <v>0</v>
      </c>
    </row>
    <row r="578" spans="2:11" ht="17" x14ac:dyDescent="0.2">
      <c r="B578" s="335" t="s">
        <v>1004</v>
      </c>
      <c r="C578" s="38" t="s">
        <v>551</v>
      </c>
      <c r="D578" s="166" t="s">
        <v>961</v>
      </c>
      <c r="E578" s="163">
        <v>-0.1079</v>
      </c>
      <c r="F578" s="163">
        <v>3.6249999999999998E-2</v>
      </c>
      <c r="G578" s="270">
        <v>2.9160000000000002E-3</v>
      </c>
      <c r="H578" s="163">
        <v>2.1239999999999998E-2</v>
      </c>
      <c r="I578" s="163">
        <v>2.4450000000000001E-3</v>
      </c>
      <c r="J578" s="31" t="b">
        <v>0</v>
      </c>
      <c r="K578" s="32" t="b">
        <v>0</v>
      </c>
    </row>
    <row r="579" spans="2:11" ht="17" x14ac:dyDescent="0.2">
      <c r="B579" s="335" t="s">
        <v>1003</v>
      </c>
      <c r="C579" s="38" t="s">
        <v>551</v>
      </c>
      <c r="D579" s="166" t="s">
        <v>965</v>
      </c>
      <c r="E579" s="163">
        <v>-0.11650000000000001</v>
      </c>
      <c r="F579" s="163">
        <v>6.5680000000000002E-2</v>
      </c>
      <c r="G579" s="270">
        <v>7.6100000000000001E-2</v>
      </c>
      <c r="H579" s="163">
        <v>2.5729999999999999E-2</v>
      </c>
      <c r="I579" s="163">
        <v>6.4999999999999997E-3</v>
      </c>
      <c r="J579" s="31" t="b">
        <v>0</v>
      </c>
      <c r="K579" s="32" t="b">
        <v>0</v>
      </c>
    </row>
    <row r="580" spans="2:11" ht="17" x14ac:dyDescent="0.2">
      <c r="B580" s="335" t="s">
        <v>1000</v>
      </c>
      <c r="C580" s="38" t="s">
        <v>551</v>
      </c>
      <c r="D580" s="166" t="s">
        <v>960</v>
      </c>
      <c r="E580" s="163">
        <v>-0.13239999999999999</v>
      </c>
      <c r="F580" s="163">
        <v>6.3909999999999995E-2</v>
      </c>
      <c r="G580" s="270">
        <v>3.8289999999999998E-2</v>
      </c>
      <c r="H580" s="163">
        <v>4.5900000000000003E-2</v>
      </c>
      <c r="I580" s="163">
        <v>9.1090000000000008E-3</v>
      </c>
      <c r="J580" s="31" t="b">
        <v>0</v>
      </c>
      <c r="K580" s="32" t="b">
        <v>0</v>
      </c>
    </row>
    <row r="581" spans="2:11" ht="17" x14ac:dyDescent="0.2">
      <c r="B581" s="335" t="s">
        <v>999</v>
      </c>
      <c r="C581" s="38" t="s">
        <v>551</v>
      </c>
      <c r="D581" s="166" t="s">
        <v>960</v>
      </c>
      <c r="E581" s="163">
        <v>-0.13300000000000001</v>
      </c>
      <c r="F581" s="163">
        <v>8.2360000000000003E-2</v>
      </c>
      <c r="G581" s="270">
        <v>0.10639999999999999</v>
      </c>
      <c r="H581" s="163">
        <v>2.9919999999999999E-2</v>
      </c>
      <c r="I581" s="163">
        <v>9.9190000000000007E-3</v>
      </c>
      <c r="J581" s="31" t="b">
        <v>0</v>
      </c>
      <c r="K581" s="32" t="b">
        <v>0</v>
      </c>
    </row>
    <row r="582" spans="2:11" ht="17" x14ac:dyDescent="0.2">
      <c r="B582" s="335" t="s">
        <v>996</v>
      </c>
      <c r="C582" s="38" t="s">
        <v>964</v>
      </c>
      <c r="D582" s="166" t="s">
        <v>965</v>
      </c>
      <c r="E582" s="163">
        <v>-0.14000000000000001</v>
      </c>
      <c r="F582" s="163">
        <v>8.6720000000000005E-2</v>
      </c>
      <c r="G582" s="270">
        <v>0.1065</v>
      </c>
      <c r="H582" s="163">
        <v>0.1578</v>
      </c>
      <c r="I582" s="163">
        <v>7.7039999999999997E-2</v>
      </c>
      <c r="J582" s="31" t="b">
        <v>0</v>
      </c>
      <c r="K582" s="32" t="b">
        <v>0</v>
      </c>
    </row>
    <row r="583" spans="2:11" ht="17" x14ac:dyDescent="0.2">
      <c r="B583" s="335" t="s">
        <v>995</v>
      </c>
      <c r="C583" s="38" t="s">
        <v>551</v>
      </c>
      <c r="D583" s="166" t="s">
        <v>960</v>
      </c>
      <c r="E583" s="163">
        <v>-0.14030000000000001</v>
      </c>
      <c r="F583" s="163">
        <v>8.0369999999999997E-2</v>
      </c>
      <c r="G583" s="270">
        <v>8.0920000000000006E-2</v>
      </c>
      <c r="H583" s="163">
        <v>3.3369999999999997E-2</v>
      </c>
      <c r="I583" s="163">
        <v>1.014E-2</v>
      </c>
      <c r="J583" s="31" t="b">
        <v>0</v>
      </c>
      <c r="K583" s="32" t="b">
        <v>0</v>
      </c>
    </row>
    <row r="584" spans="2:11" ht="17" x14ac:dyDescent="0.2">
      <c r="B584" s="335" t="s">
        <v>993</v>
      </c>
      <c r="C584" s="38" t="s">
        <v>551</v>
      </c>
      <c r="D584" s="166" t="s">
        <v>960</v>
      </c>
      <c r="E584" s="163">
        <v>-0.1421</v>
      </c>
      <c r="F584" s="163">
        <v>8.695E-2</v>
      </c>
      <c r="G584" s="270">
        <v>0.1022</v>
      </c>
      <c r="H584" s="163">
        <v>2.7279999999999999E-2</v>
      </c>
      <c r="I584" s="163">
        <v>1.014E-2</v>
      </c>
      <c r="J584" s="31" t="b">
        <v>0</v>
      </c>
      <c r="K584" s="32" t="b">
        <v>0</v>
      </c>
    </row>
    <row r="585" spans="2:11" ht="17" x14ac:dyDescent="0.2">
      <c r="B585" s="335" t="s">
        <v>992</v>
      </c>
      <c r="C585" s="38" t="s">
        <v>551</v>
      </c>
      <c r="D585" s="166" t="s">
        <v>960</v>
      </c>
      <c r="E585" s="163">
        <v>-0.1431</v>
      </c>
      <c r="F585" s="163">
        <v>6.4729999999999996E-2</v>
      </c>
      <c r="G585" s="270">
        <v>2.7040000000000002E-2</v>
      </c>
      <c r="H585" s="163">
        <v>4.2520000000000002E-2</v>
      </c>
      <c r="I585" s="163">
        <v>9.757E-3</v>
      </c>
      <c r="J585" s="31" t="b">
        <v>0</v>
      </c>
      <c r="K585" s="32" t="b">
        <v>0</v>
      </c>
    </row>
    <row r="586" spans="2:11" ht="17" x14ac:dyDescent="0.2">
      <c r="B586" s="335" t="s">
        <v>989</v>
      </c>
      <c r="C586" s="38" t="s">
        <v>990</v>
      </c>
      <c r="D586" s="166" t="s">
        <v>965</v>
      </c>
      <c r="E586" s="163">
        <v>-0.1472</v>
      </c>
      <c r="F586" s="163">
        <v>3.8710000000000001E-2</v>
      </c>
      <c r="G586" s="151">
        <v>1.439E-4</v>
      </c>
      <c r="H586" s="163">
        <v>7.0010000000000003E-2</v>
      </c>
      <c r="I586" s="163">
        <v>1.6070000000000001E-2</v>
      </c>
      <c r="J586" s="31" t="b">
        <v>0</v>
      </c>
      <c r="K586" s="32" t="b">
        <v>0</v>
      </c>
    </row>
    <row r="587" spans="2:11" ht="17" x14ac:dyDescent="0.2">
      <c r="B587" s="335" t="s">
        <v>988</v>
      </c>
      <c r="C587" s="38" t="s">
        <v>551</v>
      </c>
      <c r="D587" s="166" t="s">
        <v>960</v>
      </c>
      <c r="E587" s="163">
        <v>-0.14849999999999999</v>
      </c>
      <c r="F587" s="163">
        <v>4.4790000000000003E-2</v>
      </c>
      <c r="G587" s="151">
        <v>9.1759999999999997E-4</v>
      </c>
      <c r="H587" s="163">
        <v>8.0180000000000001E-2</v>
      </c>
      <c r="I587" s="163">
        <v>1.0319999999999999E-2</v>
      </c>
      <c r="J587" s="31" t="b">
        <v>0</v>
      </c>
      <c r="K587" s="32" t="b">
        <v>0</v>
      </c>
    </row>
    <row r="588" spans="2:11" ht="17" x14ac:dyDescent="0.2">
      <c r="B588" s="335" t="s">
        <v>985</v>
      </c>
      <c r="C588" s="38" t="s">
        <v>551</v>
      </c>
      <c r="D588" s="166" t="s">
        <v>961</v>
      </c>
      <c r="E588" s="163">
        <v>-0.16120000000000001</v>
      </c>
      <c r="F588" s="163">
        <v>9.7799999999999998E-2</v>
      </c>
      <c r="G588" s="270">
        <v>9.9210000000000007E-2</v>
      </c>
      <c r="H588" s="163">
        <v>2.8140000000000001E-3</v>
      </c>
      <c r="I588" s="163">
        <v>1.4220000000000001E-3</v>
      </c>
      <c r="J588" s="31" t="b">
        <v>0</v>
      </c>
      <c r="K588" s="32" t="b">
        <v>0</v>
      </c>
    </row>
    <row r="589" spans="2:11" ht="17" x14ac:dyDescent="0.2">
      <c r="B589" s="335" t="s">
        <v>984</v>
      </c>
      <c r="C589" s="38" t="s">
        <v>551</v>
      </c>
      <c r="D589" s="166" t="s">
        <v>960</v>
      </c>
      <c r="E589" s="163">
        <v>-0.16569999999999999</v>
      </c>
      <c r="F589" s="163">
        <v>7.084E-2</v>
      </c>
      <c r="G589" s="270">
        <v>1.9300000000000001E-2</v>
      </c>
      <c r="H589" s="163">
        <v>4.1119999999999997E-2</v>
      </c>
      <c r="I589" s="163">
        <v>9.6659999999999992E-3</v>
      </c>
      <c r="J589" s="31" t="b">
        <v>0</v>
      </c>
      <c r="K589" s="32" t="b">
        <v>0</v>
      </c>
    </row>
    <row r="590" spans="2:11" ht="17" x14ac:dyDescent="0.2">
      <c r="B590" s="335" t="s">
        <v>983</v>
      </c>
      <c r="C590" s="38" t="s">
        <v>551</v>
      </c>
      <c r="D590" s="166" t="s">
        <v>961</v>
      </c>
      <c r="E590" s="163">
        <v>-0.17150000000000001</v>
      </c>
      <c r="F590" s="163">
        <v>9.1869999999999993E-2</v>
      </c>
      <c r="G590" s="270">
        <v>6.1949999999999998E-2</v>
      </c>
      <c r="H590" s="163">
        <v>3.4459999999999998E-3</v>
      </c>
      <c r="I590" s="163">
        <v>1.238E-3</v>
      </c>
      <c r="J590" s="31" t="b">
        <v>0</v>
      </c>
      <c r="K590" s="32" t="b">
        <v>0</v>
      </c>
    </row>
    <row r="591" spans="2:11" ht="17" x14ac:dyDescent="0.2">
      <c r="B591" s="335" t="s">
        <v>982</v>
      </c>
      <c r="C591" s="38" t="s">
        <v>551</v>
      </c>
      <c r="D591" s="166" t="s">
        <v>960</v>
      </c>
      <c r="E591" s="163">
        <v>-0.1716</v>
      </c>
      <c r="F591" s="163">
        <v>7.1639999999999995E-2</v>
      </c>
      <c r="G591" s="270">
        <v>1.6629999999999999E-2</v>
      </c>
      <c r="H591" s="163">
        <v>3.6970000000000003E-2</v>
      </c>
      <c r="I591" s="163">
        <v>9.5659999999999999E-3</v>
      </c>
      <c r="J591" s="31" t="b">
        <v>0</v>
      </c>
      <c r="K591" s="32" t="b">
        <v>0</v>
      </c>
    </row>
    <row r="592" spans="2:11" ht="17" x14ac:dyDescent="0.2">
      <c r="B592" s="335" t="s">
        <v>979</v>
      </c>
      <c r="C592" s="38" t="s">
        <v>551</v>
      </c>
      <c r="D592" s="166" t="s">
        <v>960</v>
      </c>
      <c r="E592" s="163">
        <v>-0.17349999999999999</v>
      </c>
      <c r="F592" s="163">
        <v>9.7229999999999997E-2</v>
      </c>
      <c r="G592" s="270">
        <v>7.4389999999999998E-2</v>
      </c>
      <c r="H592" s="163">
        <v>2.4389999999999998E-2</v>
      </c>
      <c r="I592" s="163">
        <v>9.0670000000000004E-3</v>
      </c>
      <c r="J592" s="31" t="b">
        <v>0</v>
      </c>
      <c r="K592" s="32" t="b">
        <v>0</v>
      </c>
    </row>
    <row r="593" spans="2:11" ht="17" x14ac:dyDescent="0.2">
      <c r="B593" s="335" t="s">
        <v>978</v>
      </c>
      <c r="C593" s="38" t="s">
        <v>551</v>
      </c>
      <c r="D593" s="166" t="s">
        <v>960</v>
      </c>
      <c r="E593" s="163">
        <v>-0.18129999999999999</v>
      </c>
      <c r="F593" s="163">
        <v>8.2869999999999999E-2</v>
      </c>
      <c r="G593" s="270">
        <v>2.8649999999999998E-2</v>
      </c>
      <c r="H593" s="163">
        <v>2.9649999999999999E-2</v>
      </c>
      <c r="I593" s="163">
        <v>9.495E-3</v>
      </c>
      <c r="J593" s="31" t="b">
        <v>0</v>
      </c>
      <c r="K593" s="32" t="b">
        <v>0</v>
      </c>
    </row>
    <row r="594" spans="2:11" ht="17" x14ac:dyDescent="0.2">
      <c r="B594" s="335" t="s">
        <v>973</v>
      </c>
      <c r="C594" s="38" t="s">
        <v>551</v>
      </c>
      <c r="D594" s="166" t="s">
        <v>961</v>
      </c>
      <c r="E594" s="163">
        <v>-0.21959999999999999</v>
      </c>
      <c r="F594" s="163">
        <v>0.10920000000000001</v>
      </c>
      <c r="G594" s="270">
        <v>4.4389999999999999E-2</v>
      </c>
      <c r="H594" s="163">
        <v>2.591E-3</v>
      </c>
      <c r="I594" s="163">
        <v>1.1950000000000001E-3</v>
      </c>
      <c r="J594" s="31" t="b">
        <v>0</v>
      </c>
      <c r="K594" s="32" t="b">
        <v>0</v>
      </c>
    </row>
    <row r="595" spans="2:11" ht="17" x14ac:dyDescent="0.2">
      <c r="B595" s="335" t="s">
        <v>972</v>
      </c>
      <c r="C595" s="38" t="s">
        <v>551</v>
      </c>
      <c r="D595" s="166" t="s">
        <v>960</v>
      </c>
      <c r="E595" s="163">
        <v>-0.22259999999999999</v>
      </c>
      <c r="F595" s="163">
        <v>9.0550000000000005E-2</v>
      </c>
      <c r="G595" s="270">
        <v>1.396E-2</v>
      </c>
      <c r="H595" s="163">
        <v>2.4930000000000001E-2</v>
      </c>
      <c r="I595" s="163">
        <v>8.8330000000000006E-3</v>
      </c>
      <c r="J595" s="31" t="b">
        <v>0</v>
      </c>
      <c r="K595" s="32" t="b">
        <v>0</v>
      </c>
    </row>
    <row r="596" spans="2:11" ht="17" x14ac:dyDescent="0.2">
      <c r="B596" s="335" t="s">
        <v>971</v>
      </c>
      <c r="C596" s="38" t="s">
        <v>551</v>
      </c>
      <c r="D596" s="166" t="s">
        <v>960</v>
      </c>
      <c r="E596" s="163">
        <v>-0.22789999999999999</v>
      </c>
      <c r="F596" s="163">
        <v>0.1226</v>
      </c>
      <c r="G596" s="270">
        <v>6.3060000000000005E-2</v>
      </c>
      <c r="H596" s="163">
        <v>1.617E-2</v>
      </c>
      <c r="I596" s="163">
        <v>8.5220000000000001E-3</v>
      </c>
      <c r="J596" s="31" t="b">
        <v>0</v>
      </c>
      <c r="K596" s="32" t="b">
        <v>0</v>
      </c>
    </row>
    <row r="597" spans="2:11" ht="17" x14ac:dyDescent="0.2">
      <c r="B597" s="335" t="s">
        <v>970</v>
      </c>
      <c r="C597" s="38" t="s">
        <v>551</v>
      </c>
      <c r="D597" s="166" t="s">
        <v>960</v>
      </c>
      <c r="E597" s="163">
        <v>-0.23200000000000001</v>
      </c>
      <c r="F597" s="163">
        <v>7.6060000000000003E-2</v>
      </c>
      <c r="G597" s="270">
        <v>2.284E-3</v>
      </c>
      <c r="H597" s="163">
        <v>3.7350000000000001E-2</v>
      </c>
      <c r="I597" s="163">
        <v>9.9310000000000006E-3</v>
      </c>
      <c r="J597" s="31" t="b">
        <v>0</v>
      </c>
      <c r="K597" s="32" t="b">
        <v>0</v>
      </c>
    </row>
    <row r="598" spans="2:11" ht="17" x14ac:dyDescent="0.2">
      <c r="B598" s="335" t="s">
        <v>969</v>
      </c>
      <c r="C598" s="38" t="s">
        <v>964</v>
      </c>
      <c r="D598" s="166" t="s">
        <v>965</v>
      </c>
      <c r="E598" s="163">
        <v>-0.23980000000000001</v>
      </c>
      <c r="F598" s="163">
        <v>0.1666</v>
      </c>
      <c r="G598" s="270">
        <v>0.15</v>
      </c>
      <c r="H598" s="163">
        <v>5.4440000000000002E-2</v>
      </c>
      <c r="I598" s="163">
        <v>5.0459999999999998E-2</v>
      </c>
      <c r="J598" s="31" t="b">
        <v>0</v>
      </c>
      <c r="K598" s="32" t="b">
        <v>0</v>
      </c>
    </row>
    <row r="599" spans="2:11" ht="17" x14ac:dyDescent="0.2">
      <c r="B599" s="335" t="s">
        <v>968</v>
      </c>
      <c r="C599" s="38" t="s">
        <v>551</v>
      </c>
      <c r="D599" s="166" t="s">
        <v>961</v>
      </c>
      <c r="E599" s="163">
        <v>-0.25109999999999999</v>
      </c>
      <c r="F599" s="163">
        <v>0.12570000000000001</v>
      </c>
      <c r="G599" s="270">
        <v>4.58E-2</v>
      </c>
      <c r="H599" s="163">
        <v>1.9480000000000001E-3</v>
      </c>
      <c r="I599" s="163">
        <v>1.1709999999999999E-3</v>
      </c>
      <c r="J599" s="31" t="b">
        <v>0</v>
      </c>
      <c r="K599" s="32" t="b">
        <v>0</v>
      </c>
    </row>
    <row r="600" spans="2:11" ht="17" x14ac:dyDescent="0.2">
      <c r="B600" s="335" t="s">
        <v>966</v>
      </c>
      <c r="C600" s="38" t="s">
        <v>551</v>
      </c>
      <c r="D600" s="166" t="s">
        <v>960</v>
      </c>
      <c r="E600" s="163">
        <v>-0.26800000000000002</v>
      </c>
      <c r="F600" s="163">
        <v>0.11550000000000001</v>
      </c>
      <c r="G600" s="270">
        <v>2.0389999999999998E-2</v>
      </c>
      <c r="H600" s="163">
        <v>1.949E-2</v>
      </c>
      <c r="I600" s="163">
        <v>9.5820000000000002E-3</v>
      </c>
      <c r="J600" s="31" t="b">
        <v>0</v>
      </c>
      <c r="K600" s="32" t="b">
        <v>0</v>
      </c>
    </row>
    <row r="601" spans="2:11" ht="17" x14ac:dyDescent="0.2">
      <c r="B601" s="335" t="s">
        <v>963</v>
      </c>
      <c r="C601" s="38" t="s">
        <v>964</v>
      </c>
      <c r="D601" s="166" t="s">
        <v>965</v>
      </c>
      <c r="E601" s="163">
        <v>-0.27060000000000001</v>
      </c>
      <c r="F601" s="163">
        <v>0.39410000000000001</v>
      </c>
      <c r="G601" s="270">
        <v>0.4924</v>
      </c>
      <c r="H601" s="163">
        <v>2.3879999999999998E-2</v>
      </c>
      <c r="I601" s="163">
        <v>5.5590000000000001E-2</v>
      </c>
      <c r="J601" s="31" t="b">
        <v>0</v>
      </c>
      <c r="K601" s="32" t="b">
        <v>0</v>
      </c>
    </row>
    <row r="602" spans="2:11" ht="17" x14ac:dyDescent="0.2">
      <c r="B602" s="336" t="s">
        <v>959</v>
      </c>
      <c r="C602" s="41" t="s">
        <v>551</v>
      </c>
      <c r="D602" s="167" t="s">
        <v>960</v>
      </c>
      <c r="E602" s="164">
        <v>-0.50780000000000003</v>
      </c>
      <c r="F602" s="164">
        <v>0.39639999999999997</v>
      </c>
      <c r="G602" s="271">
        <v>0.20019999999999999</v>
      </c>
      <c r="H602" s="164">
        <v>6.2420000000000002E-3</v>
      </c>
      <c r="I602" s="164">
        <v>8.4650000000000003E-3</v>
      </c>
      <c r="J602" s="40" t="b">
        <v>0</v>
      </c>
      <c r="K602" s="153" t="b">
        <v>0</v>
      </c>
    </row>
  </sheetData>
  <sortState xmlns:xlrd2="http://schemas.microsoft.com/office/spreadsheetml/2017/richdata2" ref="B11:K602">
    <sortCondition descending="1" ref="J11:J602"/>
    <sortCondition descending="1" ref="E11:E602"/>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928B-5D41-4E4C-99B8-0362A4261FFD}">
  <dimension ref="B2:R117"/>
  <sheetViews>
    <sheetView workbookViewId="0"/>
  </sheetViews>
  <sheetFormatPr baseColWidth="10" defaultColWidth="11" defaultRowHeight="16" x14ac:dyDescent="0.2"/>
  <cols>
    <col min="1" max="1" width="4" customWidth="1"/>
    <col min="2" max="2" width="100.5" customWidth="1"/>
    <col min="3" max="10" width="13.33203125" customWidth="1"/>
  </cols>
  <sheetData>
    <row r="2" spans="2:18" x14ac:dyDescent="0.2">
      <c r="B2" s="25" t="s">
        <v>2922</v>
      </c>
      <c r="C2" s="25"/>
    </row>
    <row r="3" spans="2:18" ht="18" x14ac:dyDescent="0.25">
      <c r="B3" s="181" t="s">
        <v>1796</v>
      </c>
      <c r="C3" s="181"/>
    </row>
    <row r="4" spans="2:18" ht="19" x14ac:dyDescent="0.2">
      <c r="B4" s="181" t="s">
        <v>2935</v>
      </c>
      <c r="C4" s="181"/>
    </row>
    <row r="5" spans="2:18" ht="19" x14ac:dyDescent="0.2">
      <c r="B5" s="181" t="s">
        <v>2823</v>
      </c>
      <c r="C5" s="181"/>
    </row>
    <row r="6" spans="2:18" ht="19" x14ac:dyDescent="0.2">
      <c r="B6" s="181" t="s">
        <v>2822</v>
      </c>
      <c r="C6" s="181"/>
    </row>
    <row r="8" spans="2:18" ht="18" customHeight="1" x14ac:dyDescent="0.2">
      <c r="B8" s="575" t="s">
        <v>1566</v>
      </c>
      <c r="C8" s="580" t="s">
        <v>1952</v>
      </c>
      <c r="D8" s="577" t="s">
        <v>1794</v>
      </c>
      <c r="E8" s="563"/>
      <c r="F8" s="568"/>
      <c r="G8" s="577" t="s">
        <v>1795</v>
      </c>
      <c r="H8" s="563"/>
      <c r="I8" s="568"/>
      <c r="J8" s="578" t="s">
        <v>2821</v>
      </c>
    </row>
    <row r="9" spans="2:18" ht="18" customHeight="1" x14ac:dyDescent="0.2">
      <c r="B9" s="576"/>
      <c r="C9" s="581"/>
      <c r="D9" s="248" t="s">
        <v>1792</v>
      </c>
      <c r="E9" s="247" t="s">
        <v>1793</v>
      </c>
      <c r="F9" s="249" t="s">
        <v>2820</v>
      </c>
      <c r="G9" s="248" t="s">
        <v>1792</v>
      </c>
      <c r="H9" s="247" t="s">
        <v>1793</v>
      </c>
      <c r="I9" s="249" t="s">
        <v>2820</v>
      </c>
      <c r="J9" s="579"/>
      <c r="O9" s="22"/>
    </row>
    <row r="10" spans="2:18" x14ac:dyDescent="0.2">
      <c r="B10" s="241" t="s">
        <v>1390</v>
      </c>
      <c r="C10" s="139">
        <v>12</v>
      </c>
      <c r="D10" s="243">
        <v>0.794946600378725</v>
      </c>
      <c r="E10" s="163">
        <v>0.151878120047299</v>
      </c>
      <c r="F10" s="152">
        <v>1.65782809632508E-7</v>
      </c>
      <c r="G10" s="243">
        <v>0.148991492600069</v>
      </c>
      <c r="H10" s="163">
        <v>4.7844407936549503E-2</v>
      </c>
      <c r="I10" s="245">
        <v>1.845171155193E-3</v>
      </c>
      <c r="J10" s="250" t="b">
        <v>1</v>
      </c>
      <c r="O10" s="22"/>
      <c r="R10" s="22"/>
    </row>
    <row r="11" spans="2:18" x14ac:dyDescent="0.2">
      <c r="B11" s="241" t="s">
        <v>1558</v>
      </c>
      <c r="C11" s="139">
        <v>11</v>
      </c>
      <c r="D11" s="243">
        <v>0.71926489739069299</v>
      </c>
      <c r="E11" s="163">
        <v>0.183076976266733</v>
      </c>
      <c r="F11" s="152">
        <v>8.5386172441121494E-5</v>
      </c>
      <c r="G11" s="243">
        <v>0.35162925035049197</v>
      </c>
      <c r="H11" s="163">
        <v>7.0633156384794296E-2</v>
      </c>
      <c r="I11" s="152">
        <v>6.4162970307375496E-7</v>
      </c>
      <c r="J11" s="250" t="b">
        <v>1</v>
      </c>
    </row>
    <row r="12" spans="2:18" x14ac:dyDescent="0.2">
      <c r="B12" s="241" t="s">
        <v>1557</v>
      </c>
      <c r="C12" s="139">
        <v>10</v>
      </c>
      <c r="D12" s="243">
        <v>0.703260994689615</v>
      </c>
      <c r="E12" s="163">
        <v>0.202691853409247</v>
      </c>
      <c r="F12" s="152">
        <v>5.2122116352781899E-4</v>
      </c>
      <c r="G12" s="243">
        <v>0.35445482167386799</v>
      </c>
      <c r="H12" s="163">
        <v>0.13220177081214801</v>
      </c>
      <c r="I12" s="245">
        <v>7.3366230308438696E-3</v>
      </c>
      <c r="J12" s="250" t="b">
        <v>1</v>
      </c>
      <c r="R12" s="22"/>
    </row>
    <row r="13" spans="2:18" x14ac:dyDescent="0.2">
      <c r="B13" s="241" t="s">
        <v>1493</v>
      </c>
      <c r="C13" s="139">
        <v>9</v>
      </c>
      <c r="D13" s="243">
        <v>0.69040498053033705</v>
      </c>
      <c r="E13" s="163">
        <v>0.23347136986848699</v>
      </c>
      <c r="F13" s="245">
        <v>3.1051808248154498E-3</v>
      </c>
      <c r="G13" s="243">
        <v>0.218348678192891</v>
      </c>
      <c r="H13" s="163">
        <v>4.7057770173158202E-2</v>
      </c>
      <c r="I13" s="152">
        <v>3.4838680133282301E-6</v>
      </c>
      <c r="J13" s="250" t="b">
        <v>1</v>
      </c>
      <c r="O13" s="22"/>
    </row>
    <row r="14" spans="2:18" x14ac:dyDescent="0.2">
      <c r="B14" s="241" t="s">
        <v>1508</v>
      </c>
      <c r="C14" s="139">
        <v>8</v>
      </c>
      <c r="D14" s="243">
        <v>0.63604881138952196</v>
      </c>
      <c r="E14" s="163">
        <v>0.14337320235655601</v>
      </c>
      <c r="F14" s="152">
        <v>9.1511544687889792E-6</v>
      </c>
      <c r="G14" s="243">
        <v>0.15373873788911399</v>
      </c>
      <c r="H14" s="163">
        <v>5.7225877242304303E-2</v>
      </c>
      <c r="I14" s="245">
        <v>7.2199590184051504E-3</v>
      </c>
      <c r="J14" s="250" t="b">
        <v>1</v>
      </c>
    </row>
    <row r="15" spans="2:18" x14ac:dyDescent="0.2">
      <c r="B15" s="241" t="s">
        <v>1552</v>
      </c>
      <c r="C15" s="139"/>
      <c r="D15" s="243">
        <v>0.62868795933625998</v>
      </c>
      <c r="E15" s="163">
        <v>0.240101973959014</v>
      </c>
      <c r="F15" s="245">
        <v>8.8337842030128799E-3</v>
      </c>
      <c r="G15" s="243">
        <v>0.29007270422388398</v>
      </c>
      <c r="H15" s="163">
        <v>0.101206533446195</v>
      </c>
      <c r="I15" s="245">
        <v>4.15502529603075E-3</v>
      </c>
      <c r="J15" s="250" t="b">
        <v>0</v>
      </c>
    </row>
    <row r="16" spans="2:18" x14ac:dyDescent="0.2">
      <c r="B16" s="241" t="s">
        <v>1553</v>
      </c>
      <c r="C16" s="139"/>
      <c r="D16" s="243">
        <v>0.62250836745865401</v>
      </c>
      <c r="E16" s="163">
        <v>0.244879581259759</v>
      </c>
      <c r="F16" s="245">
        <v>1.1018866370693501E-2</v>
      </c>
      <c r="G16" s="243">
        <v>0.30614230731797298</v>
      </c>
      <c r="H16" s="163">
        <v>0.104878045143822</v>
      </c>
      <c r="I16" s="245">
        <v>3.51120849857803E-3</v>
      </c>
      <c r="J16" s="250" t="b">
        <v>0</v>
      </c>
      <c r="R16" s="22"/>
    </row>
    <row r="17" spans="2:18" x14ac:dyDescent="0.2">
      <c r="B17" s="241" t="s">
        <v>1482</v>
      </c>
      <c r="C17" s="139"/>
      <c r="D17" s="243">
        <v>0.620200344226983</v>
      </c>
      <c r="E17" s="163">
        <v>0.26337569903012398</v>
      </c>
      <c r="F17" s="245">
        <v>1.8532062348265901E-2</v>
      </c>
      <c r="G17" s="243">
        <v>0.197169444099802</v>
      </c>
      <c r="H17" s="163">
        <v>4.3704439406252703E-2</v>
      </c>
      <c r="I17" s="152">
        <v>6.43925548292236E-6</v>
      </c>
      <c r="J17" s="250" t="b">
        <v>0</v>
      </c>
    </row>
    <row r="18" spans="2:18" x14ac:dyDescent="0.2">
      <c r="B18" s="241" t="s">
        <v>1391</v>
      </c>
      <c r="C18" s="139"/>
      <c r="D18" s="243">
        <v>0.54706426459072399</v>
      </c>
      <c r="E18" s="163">
        <v>0.37248910140868102</v>
      </c>
      <c r="F18" s="245">
        <v>0.14192181120807801</v>
      </c>
      <c r="G18" s="243">
        <v>0.19350721595777901</v>
      </c>
      <c r="H18" s="163">
        <v>6.9834076871529496E-2</v>
      </c>
      <c r="I18" s="245">
        <v>5.58918273783669E-3</v>
      </c>
      <c r="J18" s="250" t="b">
        <v>0</v>
      </c>
    </row>
    <row r="19" spans="2:18" x14ac:dyDescent="0.2">
      <c r="B19" s="241" t="s">
        <v>1481</v>
      </c>
      <c r="C19" s="139"/>
      <c r="D19" s="243">
        <v>0.54683087672136799</v>
      </c>
      <c r="E19" s="163">
        <v>0.28452560799570198</v>
      </c>
      <c r="F19" s="245">
        <v>5.4617850541638202E-2</v>
      </c>
      <c r="G19" s="243">
        <v>0.15511235891790101</v>
      </c>
      <c r="H19" s="163">
        <v>4.2471683616110402E-2</v>
      </c>
      <c r="I19" s="152">
        <v>2.6006822116750799E-4</v>
      </c>
      <c r="J19" s="250" t="b">
        <v>0</v>
      </c>
    </row>
    <row r="20" spans="2:18" x14ac:dyDescent="0.2">
      <c r="B20" s="241" t="s">
        <v>1464</v>
      </c>
      <c r="C20" s="139"/>
      <c r="D20" s="243">
        <v>0.53193747660379898</v>
      </c>
      <c r="E20" s="163">
        <v>0.26576440884140401</v>
      </c>
      <c r="F20" s="245">
        <v>4.5334478046925301E-2</v>
      </c>
      <c r="G20" s="243">
        <v>0.159935659976709</v>
      </c>
      <c r="H20" s="163">
        <v>4.1957804206884802E-2</v>
      </c>
      <c r="I20" s="152">
        <v>1.3794648506926401E-4</v>
      </c>
      <c r="J20" s="250" t="b">
        <v>0</v>
      </c>
    </row>
    <row r="21" spans="2:18" x14ac:dyDescent="0.2">
      <c r="B21" s="241" t="s">
        <v>1440</v>
      </c>
      <c r="C21" s="139"/>
      <c r="D21" s="243">
        <v>0.50805993934623705</v>
      </c>
      <c r="E21" s="163">
        <v>0.29593589574989299</v>
      </c>
      <c r="F21" s="245">
        <v>8.60174543203822E-2</v>
      </c>
      <c r="G21" s="243">
        <v>0.140742103231597</v>
      </c>
      <c r="H21" s="163">
        <v>4.1839338350610003E-2</v>
      </c>
      <c r="I21" s="152">
        <v>7.6857682748315999E-4</v>
      </c>
      <c r="J21" s="250" t="b">
        <v>0</v>
      </c>
    </row>
    <row r="22" spans="2:18" x14ac:dyDescent="0.2">
      <c r="B22" s="241" t="s">
        <v>1521</v>
      </c>
      <c r="C22" s="139"/>
      <c r="D22" s="243">
        <v>0.49966214073825299</v>
      </c>
      <c r="E22" s="163">
        <v>0.28408996312849999</v>
      </c>
      <c r="F22" s="245">
        <v>7.86086656979679E-2</v>
      </c>
      <c r="G22" s="243">
        <v>0.22265112156654099</v>
      </c>
      <c r="H22" s="163">
        <v>5.8850849078413703E-2</v>
      </c>
      <c r="I22" s="152">
        <v>1.5475524608758999E-4</v>
      </c>
      <c r="J22" s="250" t="b">
        <v>0</v>
      </c>
    </row>
    <row r="23" spans="2:18" x14ac:dyDescent="0.2">
      <c r="B23" s="241" t="s">
        <v>1486</v>
      </c>
      <c r="C23" s="139"/>
      <c r="D23" s="243">
        <v>0.48204496740581099</v>
      </c>
      <c r="E23" s="163">
        <v>0.314000517495158</v>
      </c>
      <c r="F23" s="245">
        <v>0.124741455183323</v>
      </c>
      <c r="G23" s="243">
        <v>0.155676911580167</v>
      </c>
      <c r="H23" s="163">
        <v>5.1534748684943399E-2</v>
      </c>
      <c r="I23" s="245">
        <v>2.52095824530384E-3</v>
      </c>
      <c r="J23" s="250" t="b">
        <v>0</v>
      </c>
      <c r="R23" s="22"/>
    </row>
    <row r="24" spans="2:18" x14ac:dyDescent="0.2">
      <c r="B24" s="241" t="s">
        <v>967</v>
      </c>
      <c r="C24" s="139"/>
      <c r="D24" s="243">
        <v>0.47593493110264001</v>
      </c>
      <c r="E24" s="163">
        <v>0.34103474645301102</v>
      </c>
      <c r="F24" s="245">
        <v>0.16284661047992399</v>
      </c>
      <c r="G24" s="243">
        <v>-0.304212781184103</v>
      </c>
      <c r="H24" s="163">
        <v>6.6563258029249603E-2</v>
      </c>
      <c r="I24" s="152">
        <v>4.8707110829311399E-6</v>
      </c>
      <c r="J24" s="250" t="b">
        <v>0</v>
      </c>
    </row>
    <row r="25" spans="2:18" x14ac:dyDescent="0.2">
      <c r="B25" s="241" t="s">
        <v>1478</v>
      </c>
      <c r="C25" s="139"/>
      <c r="D25" s="243">
        <v>0.46237459067145598</v>
      </c>
      <c r="E25" s="163">
        <v>0.36870095013146398</v>
      </c>
      <c r="F25" s="245">
        <v>0.209818741761473</v>
      </c>
      <c r="G25" s="243">
        <v>0.18035163449014699</v>
      </c>
      <c r="H25" s="163">
        <v>5.5624392279191498E-2</v>
      </c>
      <c r="I25" s="245">
        <v>1.18564145249263E-3</v>
      </c>
      <c r="J25" s="250" t="b">
        <v>0</v>
      </c>
    </row>
    <row r="26" spans="2:18" x14ac:dyDescent="0.2">
      <c r="B26" s="241" t="s">
        <v>1404</v>
      </c>
      <c r="C26" s="139"/>
      <c r="D26" s="243">
        <v>0.45081190124888099</v>
      </c>
      <c r="E26" s="163">
        <v>0.34876670319653802</v>
      </c>
      <c r="F26" s="245">
        <v>0.19615334816147501</v>
      </c>
      <c r="G26" s="243">
        <v>0.19044358146568</v>
      </c>
      <c r="H26" s="163">
        <v>5.1329480538294503E-2</v>
      </c>
      <c r="I26" s="152">
        <v>2.0708055129069699E-4</v>
      </c>
      <c r="J26" s="250" t="b">
        <v>0</v>
      </c>
    </row>
    <row r="27" spans="2:18" x14ac:dyDescent="0.2">
      <c r="B27" s="241" t="s">
        <v>1413</v>
      </c>
      <c r="C27" s="139"/>
      <c r="D27" s="243">
        <v>0.42340551690586897</v>
      </c>
      <c r="E27" s="163">
        <v>0.17810945057372499</v>
      </c>
      <c r="F27" s="245">
        <v>1.7443635973559801E-2</v>
      </c>
      <c r="G27" s="243">
        <v>0.162451707283879</v>
      </c>
      <c r="H27" s="163">
        <v>6.03111527538314E-2</v>
      </c>
      <c r="I27" s="245">
        <v>7.0693424893333596E-3</v>
      </c>
      <c r="J27" s="250" t="b">
        <v>0</v>
      </c>
    </row>
    <row r="28" spans="2:18" x14ac:dyDescent="0.2">
      <c r="B28" s="241" t="s">
        <v>1454</v>
      </c>
      <c r="C28" s="139"/>
      <c r="D28" s="243">
        <v>0.41934961768252699</v>
      </c>
      <c r="E28" s="163">
        <v>0.31654382127098601</v>
      </c>
      <c r="F28" s="245">
        <v>0.18524549882604199</v>
      </c>
      <c r="G28" s="243">
        <v>0.16270514272134801</v>
      </c>
      <c r="H28" s="163">
        <v>5.9107939816701399E-2</v>
      </c>
      <c r="I28" s="245">
        <v>5.9109950701783003E-3</v>
      </c>
      <c r="J28" s="250" t="b">
        <v>0</v>
      </c>
      <c r="R28" s="22"/>
    </row>
    <row r="29" spans="2:18" x14ac:dyDescent="0.2">
      <c r="B29" s="241" t="s">
        <v>1001</v>
      </c>
      <c r="C29" s="139"/>
      <c r="D29" s="243">
        <v>0.39983520928272598</v>
      </c>
      <c r="E29" s="163">
        <v>0.29764308069405399</v>
      </c>
      <c r="F29" s="245">
        <v>0.17916260876728701</v>
      </c>
      <c r="G29" s="243">
        <v>-0.118820971505669</v>
      </c>
      <c r="H29" s="163">
        <v>2.96504538620871E-2</v>
      </c>
      <c r="I29" s="152">
        <v>6.1393096014136799E-5</v>
      </c>
      <c r="J29" s="250" t="b">
        <v>0</v>
      </c>
    </row>
    <row r="30" spans="2:18" x14ac:dyDescent="0.2">
      <c r="B30" s="241" t="s">
        <v>976</v>
      </c>
      <c r="C30" s="139"/>
      <c r="D30" s="243">
        <v>0.384821979488216</v>
      </c>
      <c r="E30" s="163">
        <v>0.21048100849131299</v>
      </c>
      <c r="F30" s="245">
        <v>6.7504859340711307E-2</v>
      </c>
      <c r="G30" s="243">
        <v>-0.15312441838365001</v>
      </c>
      <c r="H30" s="163">
        <v>4.3324554046966897E-2</v>
      </c>
      <c r="I30" s="152">
        <v>4.0876936054175402E-4</v>
      </c>
      <c r="J30" s="250" t="b">
        <v>0</v>
      </c>
    </row>
    <row r="31" spans="2:18" x14ac:dyDescent="0.2">
      <c r="B31" s="241" t="s">
        <v>1449</v>
      </c>
      <c r="C31" s="139"/>
      <c r="D31" s="243">
        <v>0.38069322694700802</v>
      </c>
      <c r="E31" s="163">
        <v>0.18730304569141901</v>
      </c>
      <c r="F31" s="245">
        <v>4.2103179015534599E-2</v>
      </c>
      <c r="G31" s="243">
        <v>0.19260924393428799</v>
      </c>
      <c r="H31" s="163">
        <v>6.4430558917847602E-2</v>
      </c>
      <c r="I31" s="245">
        <v>2.79518387738459E-3</v>
      </c>
      <c r="J31" s="250" t="b">
        <v>0</v>
      </c>
    </row>
    <row r="32" spans="2:18" x14ac:dyDescent="0.2">
      <c r="B32" s="241" t="s">
        <v>1350</v>
      </c>
      <c r="C32" s="139"/>
      <c r="D32" s="243">
        <v>0.37705543517340201</v>
      </c>
      <c r="E32" s="163">
        <v>0.36569141729495103</v>
      </c>
      <c r="F32" s="245">
        <v>0.30250544893319198</v>
      </c>
      <c r="G32" s="243">
        <v>0.197869473592581</v>
      </c>
      <c r="H32" s="163">
        <v>5.2617459669471602E-2</v>
      </c>
      <c r="I32" s="152">
        <v>1.69554537129552E-4</v>
      </c>
      <c r="J32" s="250" t="b">
        <v>0</v>
      </c>
    </row>
    <row r="33" spans="2:18" x14ac:dyDescent="0.2">
      <c r="B33" s="241" t="s">
        <v>1457</v>
      </c>
      <c r="C33" s="139"/>
      <c r="D33" s="243">
        <v>0.35498926061858499</v>
      </c>
      <c r="E33" s="163">
        <v>0.33364229101997001</v>
      </c>
      <c r="F33" s="245">
        <v>0.28733703231962399</v>
      </c>
      <c r="G33" s="243">
        <v>0.16044207888884601</v>
      </c>
      <c r="H33" s="163">
        <v>5.8589001583064799E-2</v>
      </c>
      <c r="I33" s="245">
        <v>6.1732662291038697E-3</v>
      </c>
      <c r="J33" s="250" t="b">
        <v>0</v>
      </c>
      <c r="R33" s="22"/>
    </row>
    <row r="34" spans="2:18" x14ac:dyDescent="0.2">
      <c r="B34" s="241" t="s">
        <v>1474</v>
      </c>
      <c r="C34" s="139"/>
      <c r="D34" s="243">
        <v>0.35483266509733002</v>
      </c>
      <c r="E34" s="163">
        <v>0.444434342549067</v>
      </c>
      <c r="F34" s="245">
        <v>0.42464325120952101</v>
      </c>
      <c r="G34" s="243">
        <v>0.20326183411714599</v>
      </c>
      <c r="H34" s="163">
        <v>4.0718791844889003E-2</v>
      </c>
      <c r="I34" s="152">
        <v>5.98057233555392E-7</v>
      </c>
      <c r="J34" s="250" t="b">
        <v>0</v>
      </c>
    </row>
    <row r="35" spans="2:18" x14ac:dyDescent="0.2">
      <c r="B35" s="241" t="s">
        <v>1500</v>
      </c>
      <c r="C35" s="139"/>
      <c r="D35" s="243">
        <v>0.352945181117304</v>
      </c>
      <c r="E35" s="163">
        <v>0.440789411721347</v>
      </c>
      <c r="F35" s="245">
        <v>0.42329864391355898</v>
      </c>
      <c r="G35" s="243">
        <v>0.18622377625199699</v>
      </c>
      <c r="H35" s="163">
        <v>4.8023947844442701E-2</v>
      </c>
      <c r="I35" s="152">
        <v>1.05436780697514E-4</v>
      </c>
      <c r="J35" s="250" t="b">
        <v>0</v>
      </c>
    </row>
    <row r="36" spans="2:18" x14ac:dyDescent="0.2">
      <c r="B36" s="241" t="s">
        <v>1532</v>
      </c>
      <c r="C36" s="139"/>
      <c r="D36" s="243">
        <v>0.331468361934599</v>
      </c>
      <c r="E36" s="163">
        <v>0.41901482176773402</v>
      </c>
      <c r="F36" s="245">
        <v>0.428905502211819</v>
      </c>
      <c r="G36" s="243">
        <v>0.19936579976559701</v>
      </c>
      <c r="H36" s="163">
        <v>7.2871629533765594E-2</v>
      </c>
      <c r="I36" s="245">
        <v>6.2219504787326303E-3</v>
      </c>
      <c r="J36" s="250" t="b">
        <v>0</v>
      </c>
      <c r="O36" s="22"/>
    </row>
    <row r="37" spans="2:18" x14ac:dyDescent="0.2">
      <c r="B37" s="241" t="s">
        <v>975</v>
      </c>
      <c r="C37" s="139">
        <v>7</v>
      </c>
      <c r="D37" s="243">
        <v>0.29022429853588999</v>
      </c>
      <c r="E37" s="163">
        <v>3.59603493967817E-2</v>
      </c>
      <c r="F37" s="152">
        <v>6.9910491074311502E-16</v>
      </c>
      <c r="G37" s="243">
        <v>-0.16664909387002</v>
      </c>
      <c r="H37" s="163">
        <v>5.9933648149707801E-2</v>
      </c>
      <c r="I37" s="245">
        <v>5.4265261068710798E-3</v>
      </c>
      <c r="J37" s="250" t="b">
        <v>1</v>
      </c>
    </row>
    <row r="38" spans="2:18" x14ac:dyDescent="0.2">
      <c r="B38" s="241" t="s">
        <v>1340</v>
      </c>
      <c r="C38" s="139"/>
      <c r="D38" s="243">
        <v>0.26207215037723802</v>
      </c>
      <c r="E38" s="163">
        <v>0.185616048498562</v>
      </c>
      <c r="F38" s="245">
        <v>0.15797805681819799</v>
      </c>
      <c r="G38" s="243">
        <v>0.105468412720806</v>
      </c>
      <c r="H38" s="163">
        <v>3.9232018509564599E-2</v>
      </c>
      <c r="I38" s="245">
        <v>7.1811484432937299E-3</v>
      </c>
      <c r="J38" s="250" t="b">
        <v>0</v>
      </c>
      <c r="R38" s="22"/>
    </row>
    <row r="39" spans="2:18" x14ac:dyDescent="0.2">
      <c r="B39" s="241" t="s">
        <v>998</v>
      </c>
      <c r="C39" s="139"/>
      <c r="D39" s="243">
        <v>0.25728106942853701</v>
      </c>
      <c r="E39" s="163">
        <v>0.142231405704003</v>
      </c>
      <c r="F39" s="245">
        <v>7.0467982889983793E-2</v>
      </c>
      <c r="G39" s="243">
        <v>-0.16206075066165099</v>
      </c>
      <c r="H39" s="163">
        <v>4.00691602050278E-2</v>
      </c>
      <c r="I39" s="152">
        <v>5.2429143573701697E-5</v>
      </c>
      <c r="J39" s="250" t="b">
        <v>0</v>
      </c>
    </row>
    <row r="40" spans="2:18" x14ac:dyDescent="0.2">
      <c r="B40" s="241" t="s">
        <v>1342</v>
      </c>
      <c r="C40" s="139"/>
      <c r="D40" s="243">
        <v>0.25408957377211</v>
      </c>
      <c r="E40" s="163">
        <v>0.19172531136541299</v>
      </c>
      <c r="F40" s="245">
        <v>0.18507855391473099</v>
      </c>
      <c r="G40" s="243">
        <v>0.10510141283726999</v>
      </c>
      <c r="H40" s="163">
        <v>3.9133821124733299E-2</v>
      </c>
      <c r="I40" s="245">
        <v>7.23796511475416E-3</v>
      </c>
      <c r="J40" s="250" t="b">
        <v>0</v>
      </c>
    </row>
    <row r="41" spans="2:18" x14ac:dyDescent="0.2">
      <c r="B41" s="241" t="s">
        <v>1358</v>
      </c>
      <c r="C41" s="139"/>
      <c r="D41" s="243">
        <v>0.24890162797052001</v>
      </c>
      <c r="E41" s="163">
        <v>0.15125349982755301</v>
      </c>
      <c r="F41" s="245">
        <v>9.9847680138182099E-2</v>
      </c>
      <c r="G41" s="243">
        <v>0.114641625978496</v>
      </c>
      <c r="H41" s="163">
        <v>4.0099069938337999E-2</v>
      </c>
      <c r="I41" s="245">
        <v>4.2503274334527302E-3</v>
      </c>
      <c r="J41" s="250" t="b">
        <v>0</v>
      </c>
    </row>
    <row r="42" spans="2:18" x14ac:dyDescent="0.2">
      <c r="B42" s="241" t="s">
        <v>1357</v>
      </c>
      <c r="C42" s="139"/>
      <c r="D42" s="243">
        <v>0.235221492591243</v>
      </c>
      <c r="E42" s="163">
        <v>0.152467331584136</v>
      </c>
      <c r="F42" s="245">
        <v>0.12288743861372201</v>
      </c>
      <c r="G42" s="243">
        <v>0.114620718048631</v>
      </c>
      <c r="H42" s="163">
        <v>3.96801818825561E-2</v>
      </c>
      <c r="I42" s="245">
        <v>3.8694407777679699E-3</v>
      </c>
      <c r="J42" s="250" t="b">
        <v>0</v>
      </c>
    </row>
    <row r="43" spans="2:18" x14ac:dyDescent="0.2">
      <c r="B43" s="241" t="s">
        <v>997</v>
      </c>
      <c r="C43" s="139"/>
      <c r="D43" s="243">
        <v>0.23214399715534501</v>
      </c>
      <c r="E43" s="163">
        <v>0.128910153662533</v>
      </c>
      <c r="F43" s="245">
        <v>7.1731238075977394E-2</v>
      </c>
      <c r="G43" s="243">
        <v>-0.126380213095484</v>
      </c>
      <c r="H43" s="163">
        <v>4.2414930831821997E-2</v>
      </c>
      <c r="I43" s="245">
        <v>2.8860978553810002E-3</v>
      </c>
      <c r="J43" s="250" t="b">
        <v>0</v>
      </c>
      <c r="R43" s="22"/>
    </row>
    <row r="44" spans="2:18" x14ac:dyDescent="0.2">
      <c r="B44" s="241" t="s">
        <v>1535</v>
      </c>
      <c r="C44" s="139"/>
      <c r="D44" s="243">
        <v>0.22979164363240301</v>
      </c>
      <c r="E44" s="163">
        <v>0.29497720291546098</v>
      </c>
      <c r="F44" s="245">
        <v>0.43597092289296202</v>
      </c>
      <c r="G44" s="243">
        <v>0.26684864143176801</v>
      </c>
      <c r="H44" s="163">
        <v>5.4317361866222602E-2</v>
      </c>
      <c r="I44" s="152">
        <v>8.9799139366738904E-7</v>
      </c>
      <c r="J44" s="250" t="b">
        <v>0</v>
      </c>
    </row>
    <row r="45" spans="2:18" x14ac:dyDescent="0.2">
      <c r="B45" s="241" t="s">
        <v>1411</v>
      </c>
      <c r="C45" s="139"/>
      <c r="D45" s="243">
        <v>0.22787401850470099</v>
      </c>
      <c r="E45" s="163">
        <v>0.51986376436629</v>
      </c>
      <c r="F45" s="245">
        <v>0.66114410557294501</v>
      </c>
      <c r="G45" s="243">
        <v>0.20889872801823101</v>
      </c>
      <c r="H45" s="163">
        <v>7.7128004863082106E-2</v>
      </c>
      <c r="I45" s="245">
        <v>6.7594643605730399E-3</v>
      </c>
      <c r="J45" s="250" t="b">
        <v>0</v>
      </c>
    </row>
    <row r="46" spans="2:18" x14ac:dyDescent="0.2">
      <c r="B46" s="241" t="s">
        <v>1448</v>
      </c>
      <c r="C46" s="139"/>
      <c r="D46" s="243">
        <v>0.214773458116574</v>
      </c>
      <c r="E46" s="163">
        <v>0.46120533238880002</v>
      </c>
      <c r="F46" s="245">
        <v>0.64144556531048402</v>
      </c>
      <c r="G46" s="243">
        <v>0.16696895956619201</v>
      </c>
      <c r="H46" s="163">
        <v>5.6293567569955398E-2</v>
      </c>
      <c r="I46" s="245">
        <v>3.0166148926827801E-3</v>
      </c>
      <c r="J46" s="250" t="b">
        <v>0</v>
      </c>
    </row>
    <row r="47" spans="2:18" x14ac:dyDescent="0.2">
      <c r="B47" s="241" t="s">
        <v>1397</v>
      </c>
      <c r="C47" s="139"/>
      <c r="D47" s="243">
        <v>0.20819334487369701</v>
      </c>
      <c r="E47" s="163">
        <v>0.29941040568295602</v>
      </c>
      <c r="F47" s="245">
        <v>0.486839503891842</v>
      </c>
      <c r="G47" s="243">
        <v>0.12998700994058501</v>
      </c>
      <c r="H47" s="163">
        <v>4.6688241542077E-2</v>
      </c>
      <c r="I47" s="245">
        <v>5.3668412823832303E-3</v>
      </c>
      <c r="J47" s="250" t="b">
        <v>0</v>
      </c>
    </row>
    <row r="48" spans="2:18" x14ac:dyDescent="0.2">
      <c r="B48" s="241" t="s">
        <v>986</v>
      </c>
      <c r="C48" s="139"/>
      <c r="D48" s="243">
        <v>0.180814612378669</v>
      </c>
      <c r="E48" s="163">
        <v>0.106589282064507</v>
      </c>
      <c r="F48" s="245">
        <v>8.9816271839284201E-2</v>
      </c>
      <c r="G48" s="243">
        <v>-0.16724271090731499</v>
      </c>
      <c r="H48" s="163">
        <v>5.2652997965106897E-2</v>
      </c>
      <c r="I48" s="245">
        <v>1.4915690265559999E-3</v>
      </c>
      <c r="J48" s="250" t="b">
        <v>0</v>
      </c>
    </row>
    <row r="49" spans="2:18" x14ac:dyDescent="0.2">
      <c r="B49" s="241" t="s">
        <v>1355</v>
      </c>
      <c r="C49" s="139"/>
      <c r="D49" s="243">
        <v>0.15931570740335099</v>
      </c>
      <c r="E49" s="163">
        <v>0.161549171954469</v>
      </c>
      <c r="F49" s="245">
        <v>0.32404738843112002</v>
      </c>
      <c r="G49" s="243">
        <v>0.11413866039708399</v>
      </c>
      <c r="H49" s="163">
        <v>3.9725837807757701E-2</v>
      </c>
      <c r="I49" s="245">
        <v>4.0638914248654996E-3</v>
      </c>
      <c r="J49" s="250" t="b">
        <v>0</v>
      </c>
      <c r="R49" s="22"/>
    </row>
    <row r="50" spans="2:18" x14ac:dyDescent="0.2">
      <c r="B50" s="241" t="s">
        <v>1556</v>
      </c>
      <c r="C50" s="139"/>
      <c r="D50" s="243">
        <v>0.151704126190113</v>
      </c>
      <c r="E50" s="163">
        <v>0.44230242120603602</v>
      </c>
      <c r="F50" s="245">
        <v>0.73160799238790197</v>
      </c>
      <c r="G50" s="243">
        <v>0.36479749104301301</v>
      </c>
      <c r="H50" s="163">
        <v>7.3503278535333699E-2</v>
      </c>
      <c r="I50" s="152">
        <v>6.9409081683382197E-7</v>
      </c>
      <c r="J50" s="250" t="b">
        <v>0</v>
      </c>
    </row>
    <row r="51" spans="2:18" x14ac:dyDescent="0.2">
      <c r="B51" s="241" t="s">
        <v>1439</v>
      </c>
      <c r="C51" s="139"/>
      <c r="D51" s="243">
        <v>7.8629538866680102E-2</v>
      </c>
      <c r="E51" s="163">
        <v>0.236573166437926</v>
      </c>
      <c r="F51" s="245">
        <v>0.73961079653135398</v>
      </c>
      <c r="G51" s="243">
        <v>0.18400163823076801</v>
      </c>
      <c r="H51" s="163">
        <v>4.88214444325034E-2</v>
      </c>
      <c r="I51" s="152">
        <v>1.63988788902989E-4</v>
      </c>
      <c r="J51" s="250" t="b">
        <v>0</v>
      </c>
    </row>
    <row r="52" spans="2:18" x14ac:dyDescent="0.2">
      <c r="B52" s="241" t="s">
        <v>1333</v>
      </c>
      <c r="C52" s="139"/>
      <c r="D52" s="243">
        <v>7.4854168618702505E-2</v>
      </c>
      <c r="E52" s="163">
        <v>0.21254008797120699</v>
      </c>
      <c r="F52" s="245">
        <v>0.72469692254129403</v>
      </c>
      <c r="G52" s="243">
        <v>0.10606436534246901</v>
      </c>
      <c r="H52" s="163">
        <v>4.0574837630961098E-2</v>
      </c>
      <c r="I52" s="245">
        <v>8.9477806368252703E-3</v>
      </c>
      <c r="J52" s="250" t="b">
        <v>0</v>
      </c>
    </row>
    <row r="53" spans="2:18" x14ac:dyDescent="0.2">
      <c r="B53" s="241" t="s">
        <v>1336</v>
      </c>
      <c r="C53" s="139"/>
      <c r="D53" s="243">
        <v>6.2966440672413707E-2</v>
      </c>
      <c r="E53" s="163">
        <v>0.22002441138973799</v>
      </c>
      <c r="F53" s="245">
        <v>0.77474076717285101</v>
      </c>
      <c r="G53" s="243">
        <v>0.106251688304542</v>
      </c>
      <c r="H53" s="163">
        <v>4.0600841161838E-2</v>
      </c>
      <c r="I53" s="245">
        <v>8.8710905249998907E-3</v>
      </c>
      <c r="J53" s="250" t="b">
        <v>0</v>
      </c>
    </row>
    <row r="54" spans="2:18" x14ac:dyDescent="0.2">
      <c r="B54" s="241" t="s">
        <v>1359</v>
      </c>
      <c r="C54" s="139"/>
      <c r="D54" s="243">
        <v>5.8196465022376E-2</v>
      </c>
      <c r="E54" s="163">
        <v>0.15665780041515001</v>
      </c>
      <c r="F54" s="245">
        <v>0.71027422496422898</v>
      </c>
      <c r="G54" s="243">
        <v>0.120425755703766</v>
      </c>
      <c r="H54" s="163">
        <v>4.0700093935009299E-2</v>
      </c>
      <c r="I54" s="245">
        <v>3.0878240443325102E-3</v>
      </c>
      <c r="J54" s="250" t="b">
        <v>0</v>
      </c>
    </row>
    <row r="55" spans="2:18" x14ac:dyDescent="0.2">
      <c r="B55" s="241" t="s">
        <v>1516</v>
      </c>
      <c r="C55" s="139"/>
      <c r="D55" s="243">
        <v>4.9960312480405E-2</v>
      </c>
      <c r="E55" s="163">
        <v>0.23236583003002001</v>
      </c>
      <c r="F55" s="245">
        <v>0.82976175205608305</v>
      </c>
      <c r="G55" s="243">
        <v>0.20125393676862999</v>
      </c>
      <c r="H55" s="163">
        <v>5.6798758741203798E-2</v>
      </c>
      <c r="I55" s="152">
        <v>3.9518206426267499E-4</v>
      </c>
      <c r="J55" s="250" t="b">
        <v>0</v>
      </c>
    </row>
    <row r="56" spans="2:18" x14ac:dyDescent="0.2">
      <c r="B56" s="241" t="s">
        <v>1360</v>
      </c>
      <c r="C56" s="139"/>
      <c r="D56" s="243">
        <v>4.73023760851616E-2</v>
      </c>
      <c r="E56" s="163">
        <v>0.16157222564013801</v>
      </c>
      <c r="F56" s="245">
        <v>0.76970328022066303</v>
      </c>
      <c r="G56" s="243">
        <v>0.120460716067386</v>
      </c>
      <c r="H56" s="163">
        <v>4.0719634673688901E-2</v>
      </c>
      <c r="I56" s="245">
        <v>3.0934532202437498E-3</v>
      </c>
      <c r="J56" s="250" t="b">
        <v>0</v>
      </c>
    </row>
    <row r="57" spans="2:18" x14ac:dyDescent="0.2">
      <c r="B57" s="241" t="s">
        <v>1524</v>
      </c>
      <c r="C57" s="139"/>
      <c r="D57" s="243">
        <v>3.3067239828080901E-2</v>
      </c>
      <c r="E57" s="163">
        <v>0.55212387593746604</v>
      </c>
      <c r="F57" s="245">
        <v>0.95224246418186298</v>
      </c>
      <c r="G57" s="243">
        <v>0.26007481282035999</v>
      </c>
      <c r="H57" s="163">
        <v>7.6121900282385704E-2</v>
      </c>
      <c r="I57" s="152">
        <v>6.3418381203484298E-4</v>
      </c>
      <c r="J57" s="250" t="b">
        <v>0</v>
      </c>
    </row>
    <row r="58" spans="2:18" x14ac:dyDescent="0.2">
      <c r="B58" s="241" t="s">
        <v>1470</v>
      </c>
      <c r="C58" s="139"/>
      <c r="D58" s="243">
        <v>2.2566193715145798E-2</v>
      </c>
      <c r="E58" s="163">
        <v>0.57495218015583205</v>
      </c>
      <c r="F58" s="245">
        <v>0.96869201213275802</v>
      </c>
      <c r="G58" s="243">
        <v>0.179490270120302</v>
      </c>
      <c r="H58" s="163">
        <v>5.9129433963158402E-2</v>
      </c>
      <c r="I58" s="245">
        <v>2.4009852999504E-3</v>
      </c>
      <c r="J58" s="250" t="b">
        <v>0</v>
      </c>
    </row>
    <row r="59" spans="2:18" x14ac:dyDescent="0.2">
      <c r="B59" s="241" t="s">
        <v>1511</v>
      </c>
      <c r="C59" s="139"/>
      <c r="D59" s="243">
        <v>2.2203250737186601E-2</v>
      </c>
      <c r="E59" s="163">
        <v>0.58082114934989204</v>
      </c>
      <c r="F59" s="245">
        <v>0.96950641828736195</v>
      </c>
      <c r="G59" s="243">
        <v>0.29951078677446702</v>
      </c>
      <c r="H59" s="163">
        <v>0.10393077901351599</v>
      </c>
      <c r="I59" s="245">
        <v>3.9537358741886198E-3</v>
      </c>
      <c r="J59" s="250" t="b">
        <v>0</v>
      </c>
    </row>
    <row r="60" spans="2:18" x14ac:dyDescent="0.2">
      <c r="B60" s="241" t="s">
        <v>1382</v>
      </c>
      <c r="C60" s="139"/>
      <c r="D60" s="243">
        <v>1.7643616924562799E-2</v>
      </c>
      <c r="E60" s="163">
        <v>0.58627641068256597</v>
      </c>
      <c r="F60" s="245">
        <v>0.97599179391797397</v>
      </c>
      <c r="G60" s="243">
        <v>0.162720777989878</v>
      </c>
      <c r="H60" s="163">
        <v>5.64343805828195E-2</v>
      </c>
      <c r="I60" s="245">
        <v>3.9345434660445202E-3</v>
      </c>
      <c r="J60" s="250" t="b">
        <v>0</v>
      </c>
    </row>
    <row r="61" spans="2:18" x14ac:dyDescent="0.2">
      <c r="B61" s="241" t="s">
        <v>1549</v>
      </c>
      <c r="C61" s="139"/>
      <c r="D61" s="243">
        <v>1.3719568152995E-2</v>
      </c>
      <c r="E61" s="163">
        <v>0.58303015491042598</v>
      </c>
      <c r="F61" s="245">
        <v>0.98122632019349099</v>
      </c>
      <c r="G61" s="243">
        <v>0.28149283839723599</v>
      </c>
      <c r="H61" s="163">
        <v>9.5533499861175195E-2</v>
      </c>
      <c r="I61" s="245">
        <v>3.2135564244694399E-3</v>
      </c>
      <c r="J61" s="250" t="b">
        <v>0</v>
      </c>
    </row>
    <row r="62" spans="2:18" x14ac:dyDescent="0.2">
      <c r="B62" s="241" t="s">
        <v>1421</v>
      </c>
      <c r="C62" s="139"/>
      <c r="D62" s="243">
        <v>9.6906052736172206E-3</v>
      </c>
      <c r="E62" s="163">
        <v>0.17669700899981999</v>
      </c>
      <c r="F62" s="245">
        <v>0.95626349234651997</v>
      </c>
      <c r="G62" s="243">
        <v>0.192336483987608</v>
      </c>
      <c r="H62" s="163">
        <v>5.0066908249716303E-2</v>
      </c>
      <c r="I62" s="152">
        <v>1.2224039708555299E-4</v>
      </c>
      <c r="J62" s="250" t="b">
        <v>0</v>
      </c>
    </row>
    <row r="63" spans="2:18" x14ac:dyDescent="0.2">
      <c r="B63" s="241" t="s">
        <v>1499</v>
      </c>
      <c r="C63" s="139"/>
      <c r="D63" s="243">
        <v>6.8490039853478703E-3</v>
      </c>
      <c r="E63" s="163">
        <v>0.56505866116707903</v>
      </c>
      <c r="F63" s="245">
        <v>0.99032917977071999</v>
      </c>
      <c r="G63" s="243">
        <v>0.22481101600922099</v>
      </c>
      <c r="H63" s="163">
        <v>7.3520998301094098E-2</v>
      </c>
      <c r="I63" s="245">
        <v>2.2298343916821602E-3</v>
      </c>
      <c r="J63" s="250" t="b">
        <v>0</v>
      </c>
    </row>
    <row r="64" spans="2:18" x14ac:dyDescent="0.2">
      <c r="B64" s="241" t="s">
        <v>1352</v>
      </c>
      <c r="C64" s="139"/>
      <c r="D64" s="243">
        <v>6.3232606953291604E-3</v>
      </c>
      <c r="E64" s="163">
        <v>0.67065342890380597</v>
      </c>
      <c r="F64" s="245">
        <v>0.99247725111733198</v>
      </c>
      <c r="G64" s="243">
        <v>0.18598452387219599</v>
      </c>
      <c r="H64" s="163">
        <v>6.0094005163661299E-2</v>
      </c>
      <c r="I64" s="245">
        <v>1.96883822132556E-3</v>
      </c>
      <c r="J64" s="250" t="b">
        <v>0</v>
      </c>
    </row>
    <row r="65" spans="2:18" x14ac:dyDescent="0.2">
      <c r="B65" s="241" t="s">
        <v>1505</v>
      </c>
      <c r="C65" s="139"/>
      <c r="D65" s="243">
        <v>3.45661423370603E-3</v>
      </c>
      <c r="E65" s="163">
        <v>0.190738132739324</v>
      </c>
      <c r="F65" s="245">
        <v>0.98554128565719101</v>
      </c>
      <c r="G65" s="243">
        <v>0.229603372266346</v>
      </c>
      <c r="H65" s="163">
        <v>6.24462324167658E-2</v>
      </c>
      <c r="I65" s="152">
        <v>2.36162282662602E-4</v>
      </c>
      <c r="J65" s="250" t="b">
        <v>0</v>
      </c>
      <c r="R65" s="22"/>
    </row>
    <row r="66" spans="2:18" x14ac:dyDescent="0.2">
      <c r="B66" s="241" t="s">
        <v>1522</v>
      </c>
      <c r="C66" s="139"/>
      <c r="D66" s="243">
        <v>2.0743059139689299E-3</v>
      </c>
      <c r="E66" s="163">
        <v>0.50163124802594605</v>
      </c>
      <c r="F66" s="245">
        <v>0.99670066019019898</v>
      </c>
      <c r="G66" s="243">
        <v>0.26632063613269003</v>
      </c>
      <c r="H66" s="163">
        <v>6.1565947990405899E-2</v>
      </c>
      <c r="I66" s="152">
        <v>1.51994298762477E-5</v>
      </c>
      <c r="J66" s="250" t="b">
        <v>0</v>
      </c>
    </row>
    <row r="67" spans="2:18" x14ac:dyDescent="0.2">
      <c r="B67" s="241" t="s">
        <v>1428</v>
      </c>
      <c r="C67" s="139"/>
      <c r="D67" s="243">
        <v>-2.5576152826487998E-3</v>
      </c>
      <c r="E67" s="163">
        <v>0.231568842631627</v>
      </c>
      <c r="F67" s="245">
        <v>0.99118775982576801</v>
      </c>
      <c r="G67" s="243">
        <v>0.172864736973908</v>
      </c>
      <c r="H67" s="163">
        <v>4.6218588408257301E-2</v>
      </c>
      <c r="I67" s="152">
        <v>1.8390598183865299E-4</v>
      </c>
      <c r="J67" s="250" t="b">
        <v>0</v>
      </c>
    </row>
    <row r="68" spans="2:18" x14ac:dyDescent="0.2">
      <c r="B68" s="241" t="s">
        <v>1435</v>
      </c>
      <c r="C68" s="139"/>
      <c r="D68" s="243">
        <v>-4.9307968579413398E-3</v>
      </c>
      <c r="E68" s="163">
        <v>0.58137042304075903</v>
      </c>
      <c r="F68" s="245">
        <v>0.99323295550748703</v>
      </c>
      <c r="G68" s="243">
        <v>0.23880988670047501</v>
      </c>
      <c r="H68" s="163">
        <v>6.8940881095742104E-2</v>
      </c>
      <c r="I68" s="152">
        <v>5.3224454849467402E-4</v>
      </c>
      <c r="J68" s="250" t="b">
        <v>0</v>
      </c>
    </row>
    <row r="69" spans="2:18" x14ac:dyDescent="0.2">
      <c r="B69" s="241" t="s">
        <v>1455</v>
      </c>
      <c r="C69" s="139"/>
      <c r="D69" s="243">
        <v>-5.7608548378075396E-3</v>
      </c>
      <c r="E69" s="163">
        <v>0.70022363348685901</v>
      </c>
      <c r="F69" s="245">
        <v>0.99343574672495805</v>
      </c>
      <c r="G69" s="243">
        <v>0.23199133069479899</v>
      </c>
      <c r="H69" s="163">
        <v>8.2628090693674605E-2</v>
      </c>
      <c r="I69" s="245">
        <v>4.9903360145146297E-3</v>
      </c>
      <c r="J69" s="250" t="b">
        <v>0</v>
      </c>
    </row>
    <row r="70" spans="2:18" x14ac:dyDescent="0.2">
      <c r="B70" s="241" t="s">
        <v>1483</v>
      </c>
      <c r="C70" s="139"/>
      <c r="D70" s="243">
        <v>-1.58039949871977E-2</v>
      </c>
      <c r="E70" s="163">
        <v>0.55927477556315297</v>
      </c>
      <c r="F70" s="245">
        <v>0.977456366406255</v>
      </c>
      <c r="G70" s="243">
        <v>0.19068395318944101</v>
      </c>
      <c r="H70" s="163">
        <v>6.3199166791075304E-2</v>
      </c>
      <c r="I70" s="245">
        <v>2.5512905657865698E-3</v>
      </c>
      <c r="J70" s="250" t="b">
        <v>0</v>
      </c>
    </row>
    <row r="71" spans="2:18" x14ac:dyDescent="0.2">
      <c r="B71" s="241" t="s">
        <v>991</v>
      </c>
      <c r="C71" s="139"/>
      <c r="D71" s="243">
        <v>-2.3362256353856501E-2</v>
      </c>
      <c r="E71" s="163">
        <v>0.23900845627800299</v>
      </c>
      <c r="F71" s="245">
        <v>0.92213353656473596</v>
      </c>
      <c r="G71" s="243">
        <v>-0.13688171555904499</v>
      </c>
      <c r="H71" s="163">
        <v>4.3422099111576497E-2</v>
      </c>
      <c r="I71" s="245">
        <v>1.6196122648359E-3</v>
      </c>
      <c r="J71" s="250" t="b">
        <v>0</v>
      </c>
    </row>
    <row r="72" spans="2:18" x14ac:dyDescent="0.2">
      <c r="B72" s="241" t="s">
        <v>1437</v>
      </c>
      <c r="C72" s="139"/>
      <c r="D72" s="243">
        <v>-3.0577629604236399E-2</v>
      </c>
      <c r="E72" s="163">
        <v>0.197835784210281</v>
      </c>
      <c r="F72" s="245">
        <v>0.87716768509134302</v>
      </c>
      <c r="G72" s="243">
        <v>0.16316351871064799</v>
      </c>
      <c r="H72" s="163">
        <v>5.6217466505856503E-2</v>
      </c>
      <c r="I72" s="245">
        <v>3.7035860862782801E-3</v>
      </c>
      <c r="J72" s="250" t="b">
        <v>0</v>
      </c>
    </row>
    <row r="73" spans="2:18" x14ac:dyDescent="0.2">
      <c r="B73" s="241" t="s">
        <v>1436</v>
      </c>
      <c r="C73" s="139"/>
      <c r="D73" s="243">
        <v>-3.0577629604236399E-2</v>
      </c>
      <c r="E73" s="163">
        <v>0.197835784210281</v>
      </c>
      <c r="F73" s="245">
        <v>0.87716768509134302</v>
      </c>
      <c r="G73" s="243">
        <v>0.16316351871064799</v>
      </c>
      <c r="H73" s="163">
        <v>5.6217466505856503E-2</v>
      </c>
      <c r="I73" s="245">
        <v>3.7035860862782801E-3</v>
      </c>
      <c r="J73" s="250" t="b">
        <v>0</v>
      </c>
    </row>
    <row r="74" spans="2:18" x14ac:dyDescent="0.2">
      <c r="B74" s="241" t="s">
        <v>1487</v>
      </c>
      <c r="C74" s="139"/>
      <c r="D74" s="243">
        <v>-3.8527556301833001E-2</v>
      </c>
      <c r="E74" s="163">
        <v>0.55157472520619</v>
      </c>
      <c r="F74" s="245">
        <v>0.94431296098398698</v>
      </c>
      <c r="G74" s="243">
        <v>0.23478816761742799</v>
      </c>
      <c r="H74" s="163">
        <v>6.7649930347735601E-2</v>
      </c>
      <c r="I74" s="152">
        <v>5.1923064817146298E-4</v>
      </c>
      <c r="J74" s="250" t="b">
        <v>0</v>
      </c>
    </row>
    <row r="75" spans="2:18" x14ac:dyDescent="0.2">
      <c r="B75" s="241" t="s">
        <v>1371</v>
      </c>
      <c r="C75" s="139"/>
      <c r="D75" s="243">
        <v>-3.9315106217081799E-2</v>
      </c>
      <c r="E75" s="163">
        <v>0.67640741385759195</v>
      </c>
      <c r="F75" s="245">
        <v>0.95365032651697501</v>
      </c>
      <c r="G75" s="243">
        <v>0.192369930986411</v>
      </c>
      <c r="H75" s="163">
        <v>6.1517785702452601E-2</v>
      </c>
      <c r="I75" s="245">
        <v>1.76562678867852E-3</v>
      </c>
      <c r="J75" s="250" t="b">
        <v>0</v>
      </c>
    </row>
    <row r="76" spans="2:18" x14ac:dyDescent="0.2">
      <c r="B76" s="241" t="s">
        <v>1406</v>
      </c>
      <c r="C76" s="139"/>
      <c r="D76" s="243">
        <v>-4.4413541255239899E-2</v>
      </c>
      <c r="E76" s="163">
        <v>0.54957150879038497</v>
      </c>
      <c r="F76" s="245">
        <v>0.93558919491180403</v>
      </c>
      <c r="G76" s="243">
        <v>0.208385046723395</v>
      </c>
      <c r="H76" s="163">
        <v>6.3983855432395403E-2</v>
      </c>
      <c r="I76" s="245">
        <v>1.1266074198959899E-3</v>
      </c>
      <c r="J76" s="250" t="b">
        <v>0</v>
      </c>
    </row>
    <row r="77" spans="2:18" x14ac:dyDescent="0.2">
      <c r="B77" s="241" t="s">
        <v>1446</v>
      </c>
      <c r="C77" s="139"/>
      <c r="D77" s="243">
        <v>-5.5387557780633499E-2</v>
      </c>
      <c r="E77" s="163">
        <v>0.163703607514392</v>
      </c>
      <c r="F77" s="245">
        <v>0.73510661896757101</v>
      </c>
      <c r="G77" s="243">
        <v>0.22417812926240499</v>
      </c>
      <c r="H77" s="163">
        <v>8.0734401273741194E-2</v>
      </c>
      <c r="I77" s="245">
        <v>5.4907734562280397E-3</v>
      </c>
      <c r="J77" s="250" t="b">
        <v>0</v>
      </c>
      <c r="R77" s="22"/>
    </row>
    <row r="78" spans="2:18" x14ac:dyDescent="0.2">
      <c r="B78" s="241" t="s">
        <v>1543</v>
      </c>
      <c r="C78" s="139"/>
      <c r="D78" s="243">
        <v>-5.96637173593512E-2</v>
      </c>
      <c r="E78" s="163">
        <v>0.34437254881058199</v>
      </c>
      <c r="F78" s="245">
        <v>0.86245224559537403</v>
      </c>
      <c r="G78" s="243">
        <v>0.27653208307614302</v>
      </c>
      <c r="H78" s="163">
        <v>5.6988335909350402E-2</v>
      </c>
      <c r="I78" s="152">
        <v>1.2195597713935201E-6</v>
      </c>
      <c r="J78" s="250" t="b">
        <v>0</v>
      </c>
    </row>
    <row r="79" spans="2:18" x14ac:dyDescent="0.2">
      <c r="B79" s="241" t="s">
        <v>1514</v>
      </c>
      <c r="C79" s="139"/>
      <c r="D79" s="243">
        <v>-6.2847577582432701E-2</v>
      </c>
      <c r="E79" s="163">
        <v>0.53646661246197502</v>
      </c>
      <c r="F79" s="245">
        <v>0.90674042906992103</v>
      </c>
      <c r="G79" s="243">
        <v>0.23309625152227101</v>
      </c>
      <c r="H79" s="163">
        <v>7.6720584229587496E-2</v>
      </c>
      <c r="I79" s="245">
        <v>2.37957108486929E-3</v>
      </c>
      <c r="J79" s="250" t="b">
        <v>0</v>
      </c>
      <c r="R79" s="22"/>
    </row>
    <row r="80" spans="2:18" x14ac:dyDescent="0.2">
      <c r="B80" s="241" t="s">
        <v>1453</v>
      </c>
      <c r="C80" s="139"/>
      <c r="D80" s="243">
        <v>-7.4914785646065393E-2</v>
      </c>
      <c r="E80" s="163">
        <v>0.229899152481601</v>
      </c>
      <c r="F80" s="245">
        <v>0.74453078146439</v>
      </c>
      <c r="G80" s="243">
        <v>0.18330129445721499</v>
      </c>
      <c r="H80" s="163">
        <v>4.0014111191196099E-2</v>
      </c>
      <c r="I80" s="152">
        <v>4.6294309307625502E-6</v>
      </c>
      <c r="J80" s="250" t="b">
        <v>0</v>
      </c>
    </row>
    <row r="81" spans="2:18" x14ac:dyDescent="0.2">
      <c r="B81" s="241" t="s">
        <v>1467</v>
      </c>
      <c r="C81" s="139"/>
      <c r="D81" s="243">
        <v>-8.5281440363149205E-2</v>
      </c>
      <c r="E81" s="163">
        <v>0.52358399437471304</v>
      </c>
      <c r="F81" s="245">
        <v>0.87061279887223098</v>
      </c>
      <c r="G81" s="243">
        <v>0.156082440847847</v>
      </c>
      <c r="H81" s="163">
        <v>4.6460268121670201E-2</v>
      </c>
      <c r="I81" s="152">
        <v>7.8088699356895297E-4</v>
      </c>
      <c r="J81" s="250" t="b">
        <v>0</v>
      </c>
    </row>
    <row r="82" spans="2:18" x14ac:dyDescent="0.2">
      <c r="B82" s="241" t="s">
        <v>987</v>
      </c>
      <c r="C82" s="139"/>
      <c r="D82" s="243">
        <v>-0.111656678626654</v>
      </c>
      <c r="E82" s="163">
        <v>0.23270480273070401</v>
      </c>
      <c r="F82" s="245">
        <v>0.631354595181987</v>
      </c>
      <c r="G82" s="243">
        <v>-0.16256941645454101</v>
      </c>
      <c r="H82" s="163">
        <v>4.7506437064168197E-2</v>
      </c>
      <c r="I82" s="152">
        <v>6.2150818276447695E-4</v>
      </c>
      <c r="J82" s="250" t="b">
        <v>0</v>
      </c>
    </row>
    <row r="83" spans="2:18" x14ac:dyDescent="0.2">
      <c r="B83" s="241" t="s">
        <v>1564</v>
      </c>
      <c r="C83" s="139"/>
      <c r="D83" s="243">
        <v>-0.11741517143945999</v>
      </c>
      <c r="E83" s="163">
        <v>0.51309733749129005</v>
      </c>
      <c r="F83" s="245">
        <v>0.81899634103645802</v>
      </c>
      <c r="G83" s="243">
        <v>0.35883491742351298</v>
      </c>
      <c r="H83" s="163">
        <v>0.126399257257548</v>
      </c>
      <c r="I83" s="245">
        <v>4.5269267281919101E-3</v>
      </c>
      <c r="J83" s="250" t="b">
        <v>0</v>
      </c>
      <c r="R83" s="22"/>
    </row>
    <row r="84" spans="2:18" x14ac:dyDescent="0.2">
      <c r="B84" s="241" t="s">
        <v>1462</v>
      </c>
      <c r="C84" s="139"/>
      <c r="D84" s="243">
        <v>-0.131593760584719</v>
      </c>
      <c r="E84" s="163">
        <v>0.237679232803862</v>
      </c>
      <c r="F84" s="245">
        <v>0.57981075867495202</v>
      </c>
      <c r="G84" s="243">
        <v>0.186035341127054</v>
      </c>
      <c r="H84" s="163">
        <v>4.5882435619299999E-2</v>
      </c>
      <c r="I84" s="152">
        <v>5.0218208047135298E-5</v>
      </c>
      <c r="J84" s="250" t="b">
        <v>0</v>
      </c>
    </row>
    <row r="85" spans="2:18" x14ac:dyDescent="0.2">
      <c r="B85" s="241" t="s">
        <v>1419</v>
      </c>
      <c r="C85" s="139"/>
      <c r="D85" s="243">
        <v>-0.14898346779074301</v>
      </c>
      <c r="E85" s="163">
        <v>0.52470126404593398</v>
      </c>
      <c r="F85" s="245">
        <v>0.77645666733090501</v>
      </c>
      <c r="G85" s="243">
        <v>0.13067495906704099</v>
      </c>
      <c r="H85" s="163">
        <v>4.93614106368346E-2</v>
      </c>
      <c r="I85" s="245">
        <v>8.1134923530497595E-3</v>
      </c>
      <c r="J85" s="250" t="b">
        <v>0</v>
      </c>
    </row>
    <row r="86" spans="2:18" x14ac:dyDescent="0.2">
      <c r="B86" s="241" t="s">
        <v>1560</v>
      </c>
      <c r="C86" s="139"/>
      <c r="D86" s="243">
        <v>-0.15776888187105501</v>
      </c>
      <c r="E86" s="163">
        <v>0.37994251091429698</v>
      </c>
      <c r="F86" s="245">
        <v>0.67796322625252903</v>
      </c>
      <c r="G86" s="243">
        <v>0.37742048884078899</v>
      </c>
      <c r="H86" s="163">
        <v>0.14144123696612801</v>
      </c>
      <c r="I86" s="245">
        <v>7.6215560157604501E-3</v>
      </c>
      <c r="J86" s="250" t="b">
        <v>0</v>
      </c>
    </row>
    <row r="87" spans="2:18" x14ac:dyDescent="0.2">
      <c r="B87" s="241" t="s">
        <v>1562</v>
      </c>
      <c r="C87" s="139"/>
      <c r="D87" s="243">
        <v>-0.17744975383439501</v>
      </c>
      <c r="E87" s="163">
        <v>0.52297091929186901</v>
      </c>
      <c r="F87" s="245">
        <v>0.73437550262262896</v>
      </c>
      <c r="G87" s="243">
        <v>0.36997187614455501</v>
      </c>
      <c r="H87" s="163">
        <v>9.5216721049063605E-2</v>
      </c>
      <c r="I87" s="152">
        <v>1.02087239579446E-4</v>
      </c>
      <c r="J87" s="250" t="b">
        <v>0</v>
      </c>
      <c r="R87" s="22"/>
    </row>
    <row r="88" spans="2:18" x14ac:dyDescent="0.2">
      <c r="B88" s="241" t="s">
        <v>1471</v>
      </c>
      <c r="C88" s="139"/>
      <c r="D88" s="243">
        <v>-0.197705854223863</v>
      </c>
      <c r="E88" s="163">
        <v>0.45973727953577598</v>
      </c>
      <c r="F88" s="245">
        <v>0.66716585681890594</v>
      </c>
      <c r="G88" s="243">
        <v>0.215210994893893</v>
      </c>
      <c r="H88" s="163">
        <v>4.0284102390036103E-2</v>
      </c>
      <c r="I88" s="152">
        <v>9.1759083009646095E-8</v>
      </c>
      <c r="J88" s="250" t="b">
        <v>0</v>
      </c>
    </row>
    <row r="89" spans="2:18" x14ac:dyDescent="0.2">
      <c r="B89" s="241" t="s">
        <v>1321</v>
      </c>
      <c r="C89" s="139"/>
      <c r="D89" s="243">
        <v>-0.24529121425918099</v>
      </c>
      <c r="E89" s="163">
        <v>0.435914110979641</v>
      </c>
      <c r="F89" s="245">
        <v>0.57363552205467505</v>
      </c>
      <c r="G89" s="243">
        <v>0.105837880641872</v>
      </c>
      <c r="H89" s="163">
        <v>3.7904063636922801E-2</v>
      </c>
      <c r="I89" s="245">
        <v>5.2341792532632804E-3</v>
      </c>
      <c r="J89" s="250" t="b">
        <v>0</v>
      </c>
    </row>
    <row r="90" spans="2:18" x14ac:dyDescent="0.2">
      <c r="B90" s="241" t="s">
        <v>962</v>
      </c>
      <c r="C90" s="139"/>
      <c r="D90" s="243">
        <v>-0.27157653424113198</v>
      </c>
      <c r="E90" s="163">
        <v>0.45685472319626103</v>
      </c>
      <c r="F90" s="245">
        <v>0.55221228133151301</v>
      </c>
      <c r="G90" s="243">
        <v>-0.267332719374127</v>
      </c>
      <c r="H90" s="163">
        <v>7.1543142011249103E-2</v>
      </c>
      <c r="I90" s="152">
        <v>1.8647746561787601E-4</v>
      </c>
      <c r="J90" s="250" t="b">
        <v>0</v>
      </c>
      <c r="R90" s="22"/>
    </row>
    <row r="91" spans="2:18" x14ac:dyDescent="0.2">
      <c r="B91" s="241" t="s">
        <v>974</v>
      </c>
      <c r="C91" s="139"/>
      <c r="D91" s="243">
        <v>-0.31334733519494501</v>
      </c>
      <c r="E91" s="163">
        <v>0.39718218078879503</v>
      </c>
      <c r="F91" s="245">
        <v>0.43015527904036099</v>
      </c>
      <c r="G91" s="243">
        <v>-0.17075731408043801</v>
      </c>
      <c r="H91" s="163">
        <v>3.8062382479546401E-2</v>
      </c>
      <c r="I91" s="152">
        <v>7.2488122143930796E-6</v>
      </c>
      <c r="J91" s="250" t="b">
        <v>0</v>
      </c>
      <c r="R91" s="22"/>
    </row>
    <row r="92" spans="2:18" x14ac:dyDescent="0.2">
      <c r="B92" s="241" t="s">
        <v>1461</v>
      </c>
      <c r="C92" s="139"/>
      <c r="D92" s="243">
        <v>-0.31723849893213901</v>
      </c>
      <c r="E92" s="163">
        <v>0.154625990662317</v>
      </c>
      <c r="F92" s="245">
        <v>4.0203635649155897E-2</v>
      </c>
      <c r="G92" s="243">
        <v>0.18184133846061401</v>
      </c>
      <c r="H92" s="163">
        <v>4.3278991030149101E-2</v>
      </c>
      <c r="I92" s="152">
        <v>2.6502620474709401E-5</v>
      </c>
      <c r="J92" s="250" t="b">
        <v>0</v>
      </c>
    </row>
    <row r="93" spans="2:18" x14ac:dyDescent="0.2">
      <c r="B93" s="241" t="s">
        <v>1335</v>
      </c>
      <c r="C93" s="139"/>
      <c r="D93" s="243">
        <v>-0.327673738587347</v>
      </c>
      <c r="E93" s="163">
        <v>0.43595817814501497</v>
      </c>
      <c r="F93" s="245">
        <v>0.45228119541364198</v>
      </c>
      <c r="G93" s="243">
        <v>9.2276458522810703E-2</v>
      </c>
      <c r="H93" s="163">
        <v>3.5169544272314598E-2</v>
      </c>
      <c r="I93" s="245">
        <v>8.6964931810216903E-3</v>
      </c>
      <c r="J93" s="250" t="b">
        <v>0</v>
      </c>
      <c r="R93" s="22"/>
    </row>
    <row r="94" spans="2:18" x14ac:dyDescent="0.2">
      <c r="B94" s="241" t="s">
        <v>980</v>
      </c>
      <c r="C94" s="139"/>
      <c r="D94" s="243">
        <v>-0.34002093165293101</v>
      </c>
      <c r="E94" s="163">
        <v>0.407100011763048</v>
      </c>
      <c r="F94" s="245">
        <v>0.40358989631424602</v>
      </c>
      <c r="G94" s="243">
        <v>-0.18368485569144399</v>
      </c>
      <c r="H94" s="163">
        <v>3.1456012134768702E-2</v>
      </c>
      <c r="I94" s="152">
        <v>5.2382969066022196E-9</v>
      </c>
      <c r="J94" s="250" t="b">
        <v>0</v>
      </c>
      <c r="R94" s="22"/>
    </row>
    <row r="95" spans="2:18" x14ac:dyDescent="0.2">
      <c r="B95" s="241" t="s">
        <v>994</v>
      </c>
      <c r="C95" s="139"/>
      <c r="D95" s="243">
        <v>-0.34159454392525801</v>
      </c>
      <c r="E95" s="163">
        <v>0.38180286996804003</v>
      </c>
      <c r="F95" s="245">
        <v>0.37095375825731902</v>
      </c>
      <c r="G95" s="243">
        <v>-0.16282630618072699</v>
      </c>
      <c r="H95" s="163">
        <v>3.8599051412132802E-2</v>
      </c>
      <c r="I95" s="152">
        <v>2.4604013519284101E-5</v>
      </c>
      <c r="J95" s="250" t="b">
        <v>0</v>
      </c>
      <c r="R95" s="22"/>
    </row>
    <row r="96" spans="2:18" x14ac:dyDescent="0.2">
      <c r="B96" s="241" t="s">
        <v>1002</v>
      </c>
      <c r="C96" s="139"/>
      <c r="D96" s="243">
        <v>-0.34299529957353497</v>
      </c>
      <c r="E96" s="163">
        <v>0.4000325876552</v>
      </c>
      <c r="F96" s="245">
        <v>0.39121369628143299</v>
      </c>
      <c r="G96" s="243">
        <v>-0.136143286738997</v>
      </c>
      <c r="H96" s="163">
        <v>3.1861805051942901E-2</v>
      </c>
      <c r="I96" s="152">
        <v>1.9292038068315699E-5</v>
      </c>
      <c r="J96" s="250" t="b">
        <v>0</v>
      </c>
      <c r="R96" s="22"/>
    </row>
    <row r="97" spans="2:18" x14ac:dyDescent="0.2">
      <c r="B97" s="241" t="s">
        <v>1526</v>
      </c>
      <c r="C97" s="139"/>
      <c r="D97" s="243">
        <v>-0.34959483073640801</v>
      </c>
      <c r="E97" s="163">
        <v>0.40932852343965898</v>
      </c>
      <c r="F97" s="245">
        <v>0.39306672114387697</v>
      </c>
      <c r="G97" s="243">
        <v>0.26557868495463199</v>
      </c>
      <c r="H97" s="163">
        <v>6.6724154664525095E-2</v>
      </c>
      <c r="I97" s="152">
        <v>6.8843401899934805E-5</v>
      </c>
      <c r="J97" s="250" t="b">
        <v>0</v>
      </c>
      <c r="R97" s="22"/>
    </row>
    <row r="98" spans="2:18" x14ac:dyDescent="0.2">
      <c r="B98" s="241" t="s">
        <v>1559</v>
      </c>
      <c r="C98" s="139"/>
      <c r="D98" s="243">
        <v>-0.369989919037853</v>
      </c>
      <c r="E98" s="163">
        <v>0.42802250560611699</v>
      </c>
      <c r="F98" s="245">
        <v>0.38735887177223499</v>
      </c>
      <c r="G98" s="243">
        <v>0.351087878583212</v>
      </c>
      <c r="H98" s="163">
        <v>8.8331243601935006E-2</v>
      </c>
      <c r="I98" s="152">
        <v>7.0475785577293095E-5</v>
      </c>
      <c r="J98" s="250" t="b">
        <v>0</v>
      </c>
    </row>
    <row r="99" spans="2:18" x14ac:dyDescent="0.2">
      <c r="B99" s="241" t="s">
        <v>1422</v>
      </c>
      <c r="C99" s="139"/>
      <c r="D99" s="243">
        <v>-0.43623060419406801</v>
      </c>
      <c r="E99" s="163">
        <v>0.32528304217195703</v>
      </c>
      <c r="F99" s="245">
        <v>0.17989445807033699</v>
      </c>
      <c r="G99" s="243">
        <v>0.174679837190888</v>
      </c>
      <c r="H99" s="163">
        <v>5.5546582179894402E-2</v>
      </c>
      <c r="I99" s="245">
        <v>1.66231649379933E-3</v>
      </c>
      <c r="J99" s="250" t="b">
        <v>0</v>
      </c>
      <c r="R99" s="22"/>
    </row>
    <row r="100" spans="2:18" x14ac:dyDescent="0.2">
      <c r="B100" s="241" t="s">
        <v>1494</v>
      </c>
      <c r="C100" s="139"/>
      <c r="D100" s="243">
        <v>-0.47591172659592801</v>
      </c>
      <c r="E100" s="163">
        <v>0.34279448959399</v>
      </c>
      <c r="F100" s="245">
        <v>0.165036711678582</v>
      </c>
      <c r="G100" s="243">
        <v>0.22375218722196599</v>
      </c>
      <c r="H100" s="163">
        <v>3.5694280322567003E-2</v>
      </c>
      <c r="I100" s="152">
        <v>3.6437275602389298E-10</v>
      </c>
      <c r="J100" s="250" t="b">
        <v>0</v>
      </c>
      <c r="R100" s="22"/>
    </row>
    <row r="101" spans="2:18" x14ac:dyDescent="0.2">
      <c r="B101" s="241" t="s">
        <v>1519</v>
      </c>
      <c r="C101" s="139"/>
      <c r="D101" s="243">
        <v>-0.50316555449128497</v>
      </c>
      <c r="E101" s="163">
        <v>0.32225390334504</v>
      </c>
      <c r="F101" s="245">
        <v>0.118430638634027</v>
      </c>
      <c r="G101" s="243">
        <v>0.238278407092848</v>
      </c>
      <c r="H101" s="163">
        <v>3.9894508522146502E-2</v>
      </c>
      <c r="I101" s="152">
        <v>2.3334171745446999E-9</v>
      </c>
      <c r="J101" s="250" t="b">
        <v>0</v>
      </c>
      <c r="R101" s="22"/>
    </row>
    <row r="102" spans="2:18" x14ac:dyDescent="0.2">
      <c r="B102" s="241" t="s">
        <v>1510</v>
      </c>
      <c r="C102" s="139"/>
      <c r="D102" s="243">
        <v>-0.506089941201188</v>
      </c>
      <c r="E102" s="163">
        <v>0.32712470062974303</v>
      </c>
      <c r="F102" s="245">
        <v>0.12184258557366801</v>
      </c>
      <c r="G102" s="243">
        <v>0.23573172213250099</v>
      </c>
      <c r="H102" s="163">
        <v>3.6867823405771702E-2</v>
      </c>
      <c r="I102" s="152">
        <v>1.61634149664053E-10</v>
      </c>
      <c r="J102" s="250" t="b">
        <v>0</v>
      </c>
      <c r="R102" s="22"/>
    </row>
    <row r="103" spans="2:18" x14ac:dyDescent="0.2">
      <c r="B103" s="241" t="s">
        <v>1517</v>
      </c>
      <c r="C103" s="139"/>
      <c r="D103" s="243">
        <v>-0.51139106750102903</v>
      </c>
      <c r="E103" s="163">
        <v>0.31835354807066502</v>
      </c>
      <c r="F103" s="245">
        <v>0.10819437761513501</v>
      </c>
      <c r="G103" s="243">
        <v>0.238372528078413</v>
      </c>
      <c r="H103" s="163">
        <v>4.0036943399342703E-2</v>
      </c>
      <c r="I103" s="152">
        <v>2.6196395736373801E-9</v>
      </c>
      <c r="J103" s="250" t="b">
        <v>0</v>
      </c>
    </row>
    <row r="104" spans="2:18" x14ac:dyDescent="0.2">
      <c r="B104" s="241" t="s">
        <v>1536</v>
      </c>
      <c r="C104" s="139"/>
      <c r="D104" s="243">
        <v>-0.53161843766942696</v>
      </c>
      <c r="E104" s="163">
        <v>0.31736295717828</v>
      </c>
      <c r="F104" s="245">
        <v>9.3912296196441494E-2</v>
      </c>
      <c r="G104" s="243">
        <v>0.220484101481043</v>
      </c>
      <c r="H104" s="163">
        <v>5.6950496450424097E-2</v>
      </c>
      <c r="I104" s="152">
        <v>1.0816567415759E-4</v>
      </c>
      <c r="J104" s="250" t="b">
        <v>0</v>
      </c>
      <c r="R104" s="22"/>
    </row>
    <row r="105" spans="2:18" x14ac:dyDescent="0.2">
      <c r="B105" s="241" t="s">
        <v>1523</v>
      </c>
      <c r="C105" s="139"/>
      <c r="D105" s="243">
        <v>-0.60264836396348997</v>
      </c>
      <c r="E105" s="163">
        <v>0.28039667453817901</v>
      </c>
      <c r="F105" s="245">
        <v>3.1612945740249997E-2</v>
      </c>
      <c r="G105" s="243">
        <v>0.23904133472370301</v>
      </c>
      <c r="H105" s="163">
        <v>3.8916743658470698E-2</v>
      </c>
      <c r="I105" s="152">
        <v>8.1295315201882397E-10</v>
      </c>
      <c r="J105" s="250" t="b">
        <v>0</v>
      </c>
      <c r="R105" s="22"/>
    </row>
    <row r="106" spans="2:18" x14ac:dyDescent="0.2">
      <c r="B106" s="241" t="s">
        <v>1504</v>
      </c>
      <c r="C106" s="139"/>
      <c r="D106" s="243">
        <v>-0.60341165336760605</v>
      </c>
      <c r="E106" s="163">
        <v>0.27011763222347501</v>
      </c>
      <c r="F106" s="245">
        <v>2.54906586828638E-2</v>
      </c>
      <c r="G106" s="243">
        <v>0.23140674439891601</v>
      </c>
      <c r="H106" s="163">
        <v>4.1946657307595801E-2</v>
      </c>
      <c r="I106" s="152">
        <v>3.4544213943712103E-8</v>
      </c>
      <c r="J106" s="250" t="b">
        <v>0</v>
      </c>
      <c r="R106" s="22"/>
    </row>
    <row r="107" spans="2:18" x14ac:dyDescent="0.2">
      <c r="B107" s="241" t="s">
        <v>1520</v>
      </c>
      <c r="C107" s="139"/>
      <c r="D107" s="243">
        <v>-0.61102689193417203</v>
      </c>
      <c r="E107" s="163">
        <v>0.27487511732373099</v>
      </c>
      <c r="F107" s="245">
        <v>2.6220827818311299E-2</v>
      </c>
      <c r="G107" s="243">
        <v>0.23878092937848799</v>
      </c>
      <c r="H107" s="163">
        <v>3.8172178303551602E-2</v>
      </c>
      <c r="I107" s="152">
        <v>3.9658585962811602E-10</v>
      </c>
      <c r="J107" s="250" t="b">
        <v>0</v>
      </c>
      <c r="R107" s="22"/>
    </row>
    <row r="108" spans="2:18" x14ac:dyDescent="0.2">
      <c r="B108" s="241" t="s">
        <v>1506</v>
      </c>
      <c r="C108" s="139"/>
      <c r="D108" s="243">
        <v>-0.61439164937717805</v>
      </c>
      <c r="E108" s="163">
        <v>0.26478164610384203</v>
      </c>
      <c r="F108" s="245">
        <v>2.0320817012397099E-2</v>
      </c>
      <c r="G108" s="243">
        <v>0.232690091796599</v>
      </c>
      <c r="H108" s="163">
        <v>4.2063527013900703E-2</v>
      </c>
      <c r="I108" s="152">
        <v>3.1682916919734102E-8</v>
      </c>
      <c r="J108" s="250" t="b">
        <v>0</v>
      </c>
      <c r="R108" s="22"/>
    </row>
    <row r="109" spans="2:18" x14ac:dyDescent="0.2">
      <c r="B109" s="241" t="s">
        <v>1489</v>
      </c>
      <c r="C109" s="139"/>
      <c r="D109" s="243">
        <v>-0.62864748693905503</v>
      </c>
      <c r="E109" s="163">
        <v>0.26236446015885301</v>
      </c>
      <c r="F109" s="245">
        <v>1.6571257386362E-2</v>
      </c>
      <c r="G109" s="243">
        <v>0.218473417336013</v>
      </c>
      <c r="H109" s="163">
        <v>3.7713677511319099E-2</v>
      </c>
      <c r="I109" s="152">
        <v>6.9161038934543202E-9</v>
      </c>
      <c r="J109" s="250" t="b">
        <v>0</v>
      </c>
    </row>
    <row r="110" spans="2:18" x14ac:dyDescent="0.2">
      <c r="B110" s="241" t="s">
        <v>1561</v>
      </c>
      <c r="C110" s="139"/>
      <c r="D110" s="243">
        <v>-0.65027589981115197</v>
      </c>
      <c r="E110" s="163">
        <v>0.29419136346990099</v>
      </c>
      <c r="F110" s="245">
        <v>2.7078519256493301E-2</v>
      </c>
      <c r="G110" s="243">
        <v>0.34608792607536099</v>
      </c>
      <c r="H110" s="163">
        <v>0.10527629132532899</v>
      </c>
      <c r="I110" s="245">
        <v>1.01108068991213E-3</v>
      </c>
      <c r="J110" s="250" t="b">
        <v>0</v>
      </c>
      <c r="R110" s="22"/>
    </row>
    <row r="111" spans="2:18" x14ac:dyDescent="0.2">
      <c r="B111" s="241" t="s">
        <v>1496</v>
      </c>
      <c r="C111" s="139"/>
      <c r="D111" s="243">
        <v>-0.66457884214673801</v>
      </c>
      <c r="E111" s="163">
        <v>0.244446528488864</v>
      </c>
      <c r="F111" s="245">
        <v>6.5537346770652496E-3</v>
      </c>
      <c r="G111" s="243">
        <v>0.22722933983095001</v>
      </c>
      <c r="H111" s="163">
        <v>3.8943527666719498E-2</v>
      </c>
      <c r="I111" s="152">
        <v>5.3841488734119004E-9</v>
      </c>
      <c r="J111" s="250" t="b">
        <v>0</v>
      </c>
      <c r="R111" s="22"/>
    </row>
    <row r="112" spans="2:18" x14ac:dyDescent="0.2">
      <c r="B112" s="241" t="s">
        <v>1512</v>
      </c>
      <c r="C112" s="139">
        <v>6</v>
      </c>
      <c r="D112" s="243">
        <v>-0.67589910947257104</v>
      </c>
      <c r="E112" s="163">
        <v>0.23864942267283501</v>
      </c>
      <c r="F112" s="245">
        <v>4.6231216833878003E-3</v>
      </c>
      <c r="G112" s="243">
        <v>0.226792587808097</v>
      </c>
      <c r="H112" s="163">
        <v>4.3353478961932701E-2</v>
      </c>
      <c r="I112" s="152">
        <v>1.6837390645263201E-7</v>
      </c>
      <c r="J112" s="250" t="b">
        <v>1</v>
      </c>
    </row>
    <row r="113" spans="2:18" x14ac:dyDescent="0.2">
      <c r="B113" s="241" t="s">
        <v>1563</v>
      </c>
      <c r="C113" s="139">
        <v>5</v>
      </c>
      <c r="D113" s="243">
        <v>-0.69766185050014096</v>
      </c>
      <c r="E113" s="163">
        <v>0.20987598796662399</v>
      </c>
      <c r="F113" s="152">
        <v>8.8684562242529602E-4</v>
      </c>
      <c r="G113" s="243">
        <v>0.37561700447958302</v>
      </c>
      <c r="H113" s="163">
        <v>0.12956320026254201</v>
      </c>
      <c r="I113" s="245">
        <v>3.7423246956604702E-3</v>
      </c>
      <c r="J113" s="250" t="b">
        <v>1</v>
      </c>
      <c r="R113" s="22"/>
    </row>
    <row r="114" spans="2:18" x14ac:dyDescent="0.2">
      <c r="B114" s="241" t="s">
        <v>1507</v>
      </c>
      <c r="C114" s="139">
        <v>4</v>
      </c>
      <c r="D114" s="243">
        <v>-0.70628428740737303</v>
      </c>
      <c r="E114" s="163">
        <v>0.22329268801651</v>
      </c>
      <c r="F114" s="245">
        <v>1.56129476156373E-3</v>
      </c>
      <c r="G114" s="243">
        <v>0.23117006823556699</v>
      </c>
      <c r="H114" s="163">
        <v>4.0402388076475101E-2</v>
      </c>
      <c r="I114" s="152">
        <v>1.0546764724510699E-8</v>
      </c>
      <c r="J114" s="250" t="b">
        <v>1</v>
      </c>
      <c r="R114" s="22"/>
    </row>
    <row r="115" spans="2:18" x14ac:dyDescent="0.2">
      <c r="B115" s="241" t="s">
        <v>1502</v>
      </c>
      <c r="C115" s="139">
        <v>3</v>
      </c>
      <c r="D115" s="243">
        <v>-0.71009141928810504</v>
      </c>
      <c r="E115" s="163">
        <v>0.22075249191926599</v>
      </c>
      <c r="F115" s="245">
        <v>1.2968050672454801E-3</v>
      </c>
      <c r="G115" s="243">
        <v>0.23109164345258701</v>
      </c>
      <c r="H115" s="163">
        <v>4.02552691956303E-2</v>
      </c>
      <c r="I115" s="152">
        <v>9.4310623444123497E-9</v>
      </c>
      <c r="J115" s="250" t="b">
        <v>1</v>
      </c>
      <c r="R115" s="22"/>
    </row>
    <row r="116" spans="2:18" x14ac:dyDescent="0.2">
      <c r="B116" s="241" t="s">
        <v>1518</v>
      </c>
      <c r="C116" s="139">
        <v>2</v>
      </c>
      <c r="D116" s="243">
        <v>-0.76732929635811697</v>
      </c>
      <c r="E116" s="163">
        <v>0.19874683477587601</v>
      </c>
      <c r="F116" s="152">
        <v>1.12998890993763E-4</v>
      </c>
      <c r="G116" s="243">
        <v>0.24152623862792699</v>
      </c>
      <c r="H116" s="163">
        <v>3.5791020646019599E-2</v>
      </c>
      <c r="I116" s="152">
        <v>1.4965383561202801E-11</v>
      </c>
      <c r="J116" s="250" t="b">
        <v>1</v>
      </c>
      <c r="O116" s="22"/>
    </row>
    <row r="117" spans="2:18" x14ac:dyDescent="0.2">
      <c r="B117" s="242" t="s">
        <v>1383</v>
      </c>
      <c r="C117" s="140">
        <v>1</v>
      </c>
      <c r="D117" s="244">
        <v>-0.79107236312186002</v>
      </c>
      <c r="E117" s="164">
        <v>0.168601659825275</v>
      </c>
      <c r="F117" s="246">
        <v>2.7059910613964098E-6</v>
      </c>
      <c r="G117" s="244">
        <v>0.14026233941626901</v>
      </c>
      <c r="H117" s="164">
        <v>3.9427301420672599E-2</v>
      </c>
      <c r="I117" s="246">
        <v>3.7441141494930398E-4</v>
      </c>
      <c r="J117" s="251" t="b">
        <v>1</v>
      </c>
    </row>
  </sheetData>
  <mergeCells count="5">
    <mergeCell ref="B8:B9"/>
    <mergeCell ref="D8:F8"/>
    <mergeCell ref="J8:J9"/>
    <mergeCell ref="G8:I8"/>
    <mergeCell ref="C8:C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BEBE5-FF4A-C847-9413-8AFE983455FB}">
  <dimension ref="B2:H23"/>
  <sheetViews>
    <sheetView workbookViewId="0"/>
  </sheetViews>
  <sheetFormatPr baseColWidth="10" defaultRowHeight="16" x14ac:dyDescent="0.2"/>
  <cols>
    <col min="1" max="1" width="4" customWidth="1"/>
    <col min="2" max="2" width="52.5" customWidth="1"/>
    <col min="4" max="4" width="21.5" customWidth="1"/>
    <col min="5" max="5" width="11.6640625" bestFit="1" customWidth="1"/>
    <col min="7" max="7" width="21.5" customWidth="1"/>
  </cols>
  <sheetData>
    <row r="2" spans="2:8" x14ac:dyDescent="0.2">
      <c r="B2" s="25" t="s">
        <v>2923</v>
      </c>
    </row>
    <row r="3" spans="2:8" x14ac:dyDescent="0.2">
      <c r="B3" t="s">
        <v>2497</v>
      </c>
    </row>
    <row r="4" spans="2:8" x14ac:dyDescent="0.2">
      <c r="B4" t="s">
        <v>2499</v>
      </c>
    </row>
    <row r="5" spans="2:8" ht="19" x14ac:dyDescent="0.2">
      <c r="B5" t="s">
        <v>2825</v>
      </c>
    </row>
    <row r="6" spans="2:8" x14ac:dyDescent="0.2">
      <c r="B6" t="s">
        <v>2415</v>
      </c>
    </row>
    <row r="8" spans="2:8" x14ac:dyDescent="0.2">
      <c r="B8" s="582"/>
      <c r="C8" s="584" t="s">
        <v>2392</v>
      </c>
      <c r="D8" s="585"/>
      <c r="E8" s="585"/>
      <c r="F8" s="584" t="s">
        <v>2393</v>
      </c>
      <c r="G8" s="585"/>
      <c r="H8" s="586"/>
    </row>
    <row r="9" spans="2:8" ht="34" x14ac:dyDescent="0.2">
      <c r="B9" s="583"/>
      <c r="C9" s="261" t="s">
        <v>2394</v>
      </c>
      <c r="D9" s="262" t="s">
        <v>2498</v>
      </c>
      <c r="E9" s="155" t="s">
        <v>2824</v>
      </c>
      <c r="F9" s="261" t="s">
        <v>2394</v>
      </c>
      <c r="G9" s="262" t="s">
        <v>2498</v>
      </c>
      <c r="H9" s="155" t="s">
        <v>2824</v>
      </c>
    </row>
    <row r="10" spans="2:8" x14ac:dyDescent="0.2">
      <c r="B10" s="398" t="s">
        <v>2390</v>
      </c>
      <c r="C10" s="149"/>
      <c r="D10" s="149"/>
      <c r="E10" s="149"/>
      <c r="F10" s="149"/>
      <c r="G10" s="149"/>
      <c r="H10" s="150"/>
    </row>
    <row r="11" spans="2:8" x14ac:dyDescent="0.2">
      <c r="B11" s="142" t="s">
        <v>1383</v>
      </c>
      <c r="C11" s="139">
        <v>55</v>
      </c>
      <c r="D11" s="31" t="s">
        <v>2367</v>
      </c>
      <c r="E11" s="254">
        <v>0.244546100084616</v>
      </c>
      <c r="F11" s="139">
        <v>95</v>
      </c>
      <c r="G11" s="31" t="s">
        <v>2368</v>
      </c>
      <c r="H11" s="254">
        <v>0.433512034644774</v>
      </c>
    </row>
    <row r="12" spans="2:8" x14ac:dyDescent="0.2">
      <c r="B12" s="142" t="s">
        <v>1518</v>
      </c>
      <c r="C12" s="139">
        <v>239</v>
      </c>
      <c r="D12" s="31" t="s">
        <v>2369</v>
      </c>
      <c r="E12" s="400">
        <v>3.1094744250459799E-11</v>
      </c>
      <c r="F12" s="139">
        <v>111</v>
      </c>
      <c r="G12" s="31" t="s">
        <v>2370</v>
      </c>
      <c r="H12" s="254">
        <v>0.27852541087834198</v>
      </c>
    </row>
    <row r="13" spans="2:8" x14ac:dyDescent="0.2">
      <c r="B13" s="142" t="s">
        <v>1502</v>
      </c>
      <c r="C13" s="139">
        <v>231</v>
      </c>
      <c r="D13" s="31" t="s">
        <v>2371</v>
      </c>
      <c r="E13" s="400">
        <v>1.36442873358167E-10</v>
      </c>
      <c r="F13" s="139">
        <v>111</v>
      </c>
      <c r="G13" s="31" t="s">
        <v>2372</v>
      </c>
      <c r="H13" s="254">
        <v>0.412685017691585</v>
      </c>
    </row>
    <row r="14" spans="2:8" x14ac:dyDescent="0.2">
      <c r="B14" s="142" t="s">
        <v>1507</v>
      </c>
      <c r="C14" s="139">
        <v>237</v>
      </c>
      <c r="D14" s="31" t="s">
        <v>2373</v>
      </c>
      <c r="E14" s="400">
        <v>1.00054942175366E-11</v>
      </c>
      <c r="F14" s="139">
        <v>111</v>
      </c>
      <c r="G14" s="31" t="s">
        <v>2374</v>
      </c>
      <c r="H14" s="254">
        <v>0.42816785949526098</v>
      </c>
    </row>
    <row r="15" spans="2:8" x14ac:dyDescent="0.2">
      <c r="B15" s="142" t="s">
        <v>1563</v>
      </c>
      <c r="C15" s="139" t="s">
        <v>2413</v>
      </c>
      <c r="D15" s="31" t="s">
        <v>2375</v>
      </c>
      <c r="E15" s="254">
        <v>0.15591461150566099</v>
      </c>
      <c r="F15" s="139">
        <v>111</v>
      </c>
      <c r="G15" s="31" t="s">
        <v>2376</v>
      </c>
      <c r="H15" s="254">
        <v>0.21962322013256599</v>
      </c>
    </row>
    <row r="16" spans="2:8" x14ac:dyDescent="0.2">
      <c r="B16" s="142" t="s">
        <v>1512</v>
      </c>
      <c r="C16" s="139">
        <v>288</v>
      </c>
      <c r="D16" s="31" t="s">
        <v>2377</v>
      </c>
      <c r="E16" s="400">
        <v>4.4756651374874101E-6</v>
      </c>
      <c r="F16" s="139">
        <v>111</v>
      </c>
      <c r="G16" s="31" t="s">
        <v>2378</v>
      </c>
      <c r="H16" s="254">
        <v>0.53812639163692599</v>
      </c>
    </row>
    <row r="17" spans="2:8" x14ac:dyDescent="0.2">
      <c r="B17" s="398" t="s">
        <v>2391</v>
      </c>
      <c r="C17" s="154"/>
      <c r="D17" s="399"/>
      <c r="E17" s="154"/>
      <c r="F17" s="154"/>
      <c r="G17" s="154"/>
      <c r="H17" s="155"/>
    </row>
    <row r="18" spans="2:8" x14ac:dyDescent="0.2">
      <c r="B18" s="142" t="s">
        <v>975</v>
      </c>
      <c r="C18" s="139">
        <v>1</v>
      </c>
      <c r="D18" s="31" t="s">
        <v>2379</v>
      </c>
      <c r="E18" s="254">
        <v>0.64270683586284705</v>
      </c>
      <c r="F18" s="139">
        <v>111</v>
      </c>
      <c r="G18" s="31" t="s">
        <v>2380</v>
      </c>
      <c r="H18" s="254">
        <v>0.84521554194264004</v>
      </c>
    </row>
    <row r="19" spans="2:8" x14ac:dyDescent="0.2">
      <c r="B19" s="142" t="s">
        <v>1508</v>
      </c>
      <c r="C19" s="139" t="s">
        <v>2414</v>
      </c>
      <c r="D19" s="31" t="s">
        <v>2381</v>
      </c>
      <c r="E19" s="254">
        <v>0.10078163412187099</v>
      </c>
      <c r="F19" s="139">
        <v>110</v>
      </c>
      <c r="G19" s="31" t="s">
        <v>2382</v>
      </c>
      <c r="H19" s="254">
        <v>0.74601682685400295</v>
      </c>
    </row>
    <row r="20" spans="2:8" x14ac:dyDescent="0.2">
      <c r="B20" s="142" t="s">
        <v>1493</v>
      </c>
      <c r="C20" s="139">
        <v>37</v>
      </c>
      <c r="D20" s="31" t="s">
        <v>2383</v>
      </c>
      <c r="E20" s="254">
        <v>0.76747606216720998</v>
      </c>
      <c r="F20" s="139">
        <v>111</v>
      </c>
      <c r="G20" s="31" t="s">
        <v>2384</v>
      </c>
      <c r="H20" s="254">
        <v>0.84606429932590899</v>
      </c>
    </row>
    <row r="21" spans="2:8" x14ac:dyDescent="0.2">
      <c r="B21" s="142" t="s">
        <v>1557</v>
      </c>
      <c r="C21" s="139">
        <v>1</v>
      </c>
      <c r="D21" s="31" t="s">
        <v>2385</v>
      </c>
      <c r="E21" s="254">
        <v>0.31692990119821501</v>
      </c>
      <c r="F21" s="139">
        <v>111</v>
      </c>
      <c r="G21" s="31" t="s">
        <v>2376</v>
      </c>
      <c r="H21" s="254">
        <v>7.1454950897653802E-2</v>
      </c>
    </row>
    <row r="22" spans="2:8" x14ac:dyDescent="0.2">
      <c r="B22" s="142" t="s">
        <v>1558</v>
      </c>
      <c r="C22" s="139">
        <v>1</v>
      </c>
      <c r="D22" s="31" t="s">
        <v>2386</v>
      </c>
      <c r="E22" s="254">
        <v>0.984432508595252</v>
      </c>
      <c r="F22" s="139">
        <v>111</v>
      </c>
      <c r="G22" s="31" t="s">
        <v>2387</v>
      </c>
      <c r="H22" s="401">
        <v>3.1845156694408003E-2</v>
      </c>
    </row>
    <row r="23" spans="2:8" x14ac:dyDescent="0.2">
      <c r="B23" s="144" t="s">
        <v>1390</v>
      </c>
      <c r="C23" s="140">
        <v>6</v>
      </c>
      <c r="D23" s="40" t="s">
        <v>2388</v>
      </c>
      <c r="E23" s="255">
        <v>0.234808861651294</v>
      </c>
      <c r="F23" s="140">
        <v>111</v>
      </c>
      <c r="G23" s="40" t="s">
        <v>2389</v>
      </c>
      <c r="H23" s="255">
        <v>0.367693786293045</v>
      </c>
    </row>
  </sheetData>
  <mergeCells count="3">
    <mergeCell ref="B8:B9"/>
    <mergeCell ref="C8:E8"/>
    <mergeCell ref="F8:H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F58C-44B9-5146-9A3A-6435F2DE284C}">
  <dimension ref="B2:P124"/>
  <sheetViews>
    <sheetView workbookViewId="0">
      <pane xSplit="5" ySplit="6" topLeftCell="F7" activePane="bottomRight" state="frozen"/>
      <selection pane="topRight" activeCell="F1" sqref="F1"/>
      <selection pane="bottomLeft" activeCell="A7" sqref="A7"/>
      <selection pane="bottomRight"/>
    </sheetView>
  </sheetViews>
  <sheetFormatPr baseColWidth="10" defaultColWidth="11" defaultRowHeight="16" x14ac:dyDescent="0.2"/>
  <cols>
    <col min="1" max="1" width="4" customWidth="1"/>
    <col min="4" max="4" width="25.6640625" bestFit="1" customWidth="1"/>
    <col min="5" max="5" width="25.6640625" customWidth="1"/>
    <col min="6" max="6" width="18.1640625" customWidth="1"/>
    <col min="7" max="7" width="29" bestFit="1" customWidth="1"/>
    <col min="8" max="8" width="60" customWidth="1"/>
    <col min="9" max="10" width="51.33203125" customWidth="1"/>
    <col min="11" max="11" width="30.33203125" customWidth="1"/>
    <col min="12" max="13" width="46.6640625" customWidth="1"/>
    <col min="14" max="14" width="30.33203125" customWidth="1"/>
    <col min="15" max="15" width="51.33203125" customWidth="1"/>
    <col min="16" max="16" width="84.1640625" customWidth="1"/>
  </cols>
  <sheetData>
    <row r="2" spans="2:16" x14ac:dyDescent="0.2">
      <c r="B2" s="25" t="s">
        <v>2924</v>
      </c>
    </row>
    <row r="3" spans="2:16" ht="19" x14ac:dyDescent="0.2">
      <c r="B3" t="s">
        <v>2327</v>
      </c>
    </row>
    <row r="5" spans="2:16" x14ac:dyDescent="0.2">
      <c r="B5" s="587" t="s">
        <v>1953</v>
      </c>
      <c r="C5" s="588"/>
      <c r="D5" s="588"/>
      <c r="E5" s="589"/>
      <c r="F5" s="587" t="s">
        <v>1954</v>
      </c>
      <c r="G5" s="588"/>
      <c r="H5" s="588"/>
      <c r="I5" s="588"/>
      <c r="J5" s="590"/>
      <c r="K5" s="587" t="s">
        <v>1955</v>
      </c>
      <c r="L5" s="588"/>
      <c r="M5" s="588"/>
      <c r="N5" s="588"/>
      <c r="O5" s="588"/>
      <c r="P5" s="590"/>
    </row>
    <row r="6" spans="2:16" ht="37" x14ac:dyDescent="0.2">
      <c r="B6" s="272" t="s">
        <v>0</v>
      </c>
      <c r="C6" s="273" t="s">
        <v>1</v>
      </c>
      <c r="D6" s="273" t="s">
        <v>2</v>
      </c>
      <c r="E6" s="273" t="s">
        <v>1956</v>
      </c>
      <c r="F6" s="274" t="s">
        <v>1957</v>
      </c>
      <c r="G6" s="275" t="s">
        <v>1754</v>
      </c>
      <c r="H6" s="276" t="s">
        <v>1958</v>
      </c>
      <c r="I6" s="276" t="s">
        <v>1959</v>
      </c>
      <c r="J6" s="276" t="s">
        <v>1960</v>
      </c>
      <c r="K6" s="274" t="s">
        <v>1961</v>
      </c>
      <c r="L6" s="276" t="s">
        <v>1962</v>
      </c>
      <c r="M6" s="276" t="s">
        <v>1963</v>
      </c>
      <c r="N6" s="275" t="s">
        <v>2343</v>
      </c>
      <c r="O6" s="276" t="s">
        <v>1964</v>
      </c>
      <c r="P6" s="277" t="s">
        <v>1965</v>
      </c>
    </row>
    <row r="7" spans="2:16" ht="34" x14ac:dyDescent="0.2">
      <c r="B7" s="278">
        <v>1</v>
      </c>
      <c r="C7" s="279">
        <v>1</v>
      </c>
      <c r="D7" s="279" t="s">
        <v>1857</v>
      </c>
      <c r="E7" s="279" t="str">
        <f>IF(G7="None","Newly reported","Known")</f>
        <v>Known</v>
      </c>
      <c r="F7" s="278">
        <v>2</v>
      </c>
      <c r="G7" s="279" t="s">
        <v>27</v>
      </c>
      <c r="H7" s="280" t="s">
        <v>28</v>
      </c>
      <c r="I7" s="280" t="s">
        <v>28</v>
      </c>
      <c r="J7" s="280" t="s">
        <v>28</v>
      </c>
      <c r="K7" s="281" t="s">
        <v>28</v>
      </c>
      <c r="L7" s="280" t="s">
        <v>23</v>
      </c>
      <c r="M7" s="280" t="s">
        <v>1966</v>
      </c>
      <c r="N7" s="280" t="s">
        <v>28</v>
      </c>
      <c r="O7" s="280" t="s">
        <v>1967</v>
      </c>
      <c r="P7" s="282" t="s">
        <v>1968</v>
      </c>
    </row>
    <row r="8" spans="2:16" ht="51" x14ac:dyDescent="0.2">
      <c r="B8" s="283">
        <v>2</v>
      </c>
      <c r="C8" s="284">
        <v>1</v>
      </c>
      <c r="D8" s="284" t="s">
        <v>1858</v>
      </c>
      <c r="E8" s="284" t="str">
        <f t="shared" ref="E8:E71" si="0">IF(G8="None","Newly reported","Known")</f>
        <v>Newly reported</v>
      </c>
      <c r="F8" s="283">
        <v>1</v>
      </c>
      <c r="G8" s="284" t="s">
        <v>38</v>
      </c>
      <c r="H8" s="285" t="s">
        <v>1757</v>
      </c>
      <c r="I8" s="285" t="s">
        <v>28</v>
      </c>
      <c r="J8" s="285" t="s">
        <v>28</v>
      </c>
      <c r="K8" s="286" t="s">
        <v>28</v>
      </c>
      <c r="L8" s="285" t="s">
        <v>840</v>
      </c>
      <c r="M8" s="285" t="s">
        <v>1969</v>
      </c>
      <c r="N8" s="285" t="s">
        <v>28</v>
      </c>
      <c r="O8" s="285" t="s">
        <v>1970</v>
      </c>
      <c r="P8" s="287" t="s">
        <v>1971</v>
      </c>
    </row>
    <row r="9" spans="2:16" ht="34" x14ac:dyDescent="0.2">
      <c r="B9" s="283">
        <v>3</v>
      </c>
      <c r="C9" s="284">
        <v>1</v>
      </c>
      <c r="D9" s="284" t="s">
        <v>1859</v>
      </c>
      <c r="E9" s="284" t="str">
        <f t="shared" si="0"/>
        <v>Newly reported</v>
      </c>
      <c r="F9" s="283">
        <v>1</v>
      </c>
      <c r="G9" s="284" t="s">
        <v>38</v>
      </c>
      <c r="H9" s="285" t="s">
        <v>28</v>
      </c>
      <c r="I9" s="285" t="s">
        <v>28</v>
      </c>
      <c r="J9" s="285" t="s">
        <v>28</v>
      </c>
      <c r="K9" s="286" t="s">
        <v>28</v>
      </c>
      <c r="L9" s="285" t="s">
        <v>744</v>
      </c>
      <c r="M9" s="285" t="s">
        <v>38</v>
      </c>
      <c r="N9" s="285" t="s">
        <v>28</v>
      </c>
      <c r="O9" s="285" t="s">
        <v>1972</v>
      </c>
      <c r="P9" s="287" t="s">
        <v>1973</v>
      </c>
    </row>
    <row r="10" spans="2:16" ht="34" x14ac:dyDescent="0.2">
      <c r="B10" s="283">
        <v>4</v>
      </c>
      <c r="C10" s="284">
        <v>1</v>
      </c>
      <c r="D10" s="284" t="s">
        <v>1860</v>
      </c>
      <c r="E10" s="284" t="str">
        <f t="shared" si="0"/>
        <v>Known</v>
      </c>
      <c r="F10" s="283">
        <v>2</v>
      </c>
      <c r="G10" s="284" t="s">
        <v>47</v>
      </c>
      <c r="H10" s="285" t="s">
        <v>28</v>
      </c>
      <c r="I10" s="285" t="s">
        <v>28</v>
      </c>
      <c r="J10" s="285" t="s">
        <v>28</v>
      </c>
      <c r="K10" s="286" t="s">
        <v>28</v>
      </c>
      <c r="L10" s="285" t="s">
        <v>23</v>
      </c>
      <c r="M10" s="285" t="s">
        <v>1974</v>
      </c>
      <c r="N10" s="285" t="s">
        <v>28</v>
      </c>
      <c r="O10" s="285" t="s">
        <v>1975</v>
      </c>
      <c r="P10" s="287" t="s">
        <v>1976</v>
      </c>
    </row>
    <row r="11" spans="2:16" ht="17" x14ac:dyDescent="0.2">
      <c r="B11" s="283">
        <v>5</v>
      </c>
      <c r="C11" s="284">
        <v>1</v>
      </c>
      <c r="D11" s="284" t="s">
        <v>1861</v>
      </c>
      <c r="E11" s="284" t="str">
        <f t="shared" si="0"/>
        <v>Known</v>
      </c>
      <c r="F11" s="283">
        <v>1</v>
      </c>
      <c r="G11" s="284" t="s">
        <v>53</v>
      </c>
      <c r="H11" s="285" t="s">
        <v>28</v>
      </c>
      <c r="I11" s="285" t="s">
        <v>28</v>
      </c>
      <c r="J11" s="285" t="s">
        <v>28</v>
      </c>
      <c r="K11" s="286" t="s">
        <v>28</v>
      </c>
      <c r="L11" s="285" t="s">
        <v>23</v>
      </c>
      <c r="M11" s="285" t="s">
        <v>1977</v>
      </c>
      <c r="N11" s="285" t="s">
        <v>28</v>
      </c>
      <c r="O11" s="285" t="s">
        <v>1978</v>
      </c>
      <c r="P11" s="287" t="s">
        <v>1979</v>
      </c>
    </row>
    <row r="12" spans="2:16" ht="17" x14ac:dyDescent="0.2">
      <c r="B12" s="283">
        <v>6</v>
      </c>
      <c r="C12" s="284">
        <v>1</v>
      </c>
      <c r="D12" s="284" t="s">
        <v>1862</v>
      </c>
      <c r="E12" s="284" t="str">
        <f t="shared" si="0"/>
        <v>Newly reported</v>
      </c>
      <c r="F12" s="283">
        <v>1</v>
      </c>
      <c r="G12" s="284" t="s">
        <v>38</v>
      </c>
      <c r="H12" s="285" t="s">
        <v>28</v>
      </c>
      <c r="I12" s="285" t="s">
        <v>28</v>
      </c>
      <c r="J12" s="285" t="s">
        <v>28</v>
      </c>
      <c r="K12" s="286" t="s">
        <v>28</v>
      </c>
      <c r="L12" s="285" t="s">
        <v>746</v>
      </c>
      <c r="M12" s="285" t="s">
        <v>38</v>
      </c>
      <c r="N12" s="285" t="s">
        <v>28</v>
      </c>
      <c r="O12" s="285" t="s">
        <v>1980</v>
      </c>
      <c r="P12" s="287" t="s">
        <v>1981</v>
      </c>
    </row>
    <row r="13" spans="2:16" ht="51" x14ac:dyDescent="0.2">
      <c r="B13" s="283">
        <v>7</v>
      </c>
      <c r="C13" s="284">
        <v>1</v>
      </c>
      <c r="D13" s="284" t="s">
        <v>1576</v>
      </c>
      <c r="E13" s="284" t="str">
        <f t="shared" si="0"/>
        <v>Known</v>
      </c>
      <c r="F13" s="283">
        <v>3</v>
      </c>
      <c r="G13" s="285" t="s">
        <v>1982</v>
      </c>
      <c r="H13" s="285" t="s">
        <v>28</v>
      </c>
      <c r="I13" s="285" t="s">
        <v>1983</v>
      </c>
      <c r="J13" s="285" t="s">
        <v>28</v>
      </c>
      <c r="K13" s="286" t="s">
        <v>1573</v>
      </c>
      <c r="L13" s="285" t="s">
        <v>23</v>
      </c>
      <c r="M13" s="285" t="s">
        <v>1984</v>
      </c>
      <c r="N13" s="285" t="s">
        <v>28</v>
      </c>
      <c r="O13" s="285" t="s">
        <v>1985</v>
      </c>
      <c r="P13" s="287" t="s">
        <v>1986</v>
      </c>
    </row>
    <row r="14" spans="2:16" ht="17" x14ac:dyDescent="0.2">
      <c r="B14" s="283">
        <v>8</v>
      </c>
      <c r="C14" s="284">
        <v>1</v>
      </c>
      <c r="D14" s="284" t="s">
        <v>1863</v>
      </c>
      <c r="E14" s="284" t="str">
        <f t="shared" si="0"/>
        <v>Known</v>
      </c>
      <c r="F14" s="283">
        <v>1</v>
      </c>
      <c r="G14" s="284" t="s">
        <v>69</v>
      </c>
      <c r="H14" s="285" t="s">
        <v>28</v>
      </c>
      <c r="I14" s="285" t="s">
        <v>28</v>
      </c>
      <c r="J14" s="285" t="s">
        <v>28</v>
      </c>
      <c r="K14" s="286" t="s">
        <v>28</v>
      </c>
      <c r="L14" s="285" t="s">
        <v>23</v>
      </c>
      <c r="M14" s="285" t="s">
        <v>747</v>
      </c>
      <c r="N14" s="285" t="s">
        <v>28</v>
      </c>
      <c r="O14" s="285" t="s">
        <v>1987</v>
      </c>
      <c r="P14" s="287" t="s">
        <v>1988</v>
      </c>
    </row>
    <row r="15" spans="2:16" ht="68" x14ac:dyDescent="0.2">
      <c r="B15" s="283">
        <v>9</v>
      </c>
      <c r="C15" s="284">
        <v>1</v>
      </c>
      <c r="D15" s="284" t="s">
        <v>1583</v>
      </c>
      <c r="E15" s="284" t="str">
        <f t="shared" si="0"/>
        <v>Known</v>
      </c>
      <c r="F15" s="283">
        <v>2</v>
      </c>
      <c r="G15" s="284" t="s">
        <v>72</v>
      </c>
      <c r="H15" s="285" t="s">
        <v>28</v>
      </c>
      <c r="I15" s="285" t="s">
        <v>1989</v>
      </c>
      <c r="J15" s="285" t="s">
        <v>28</v>
      </c>
      <c r="K15" s="286" t="s">
        <v>1581</v>
      </c>
      <c r="L15" s="285" t="s">
        <v>2404</v>
      </c>
      <c r="M15" s="288" t="s">
        <v>1990</v>
      </c>
      <c r="N15" s="285" t="s">
        <v>28</v>
      </c>
      <c r="O15" s="288" t="s">
        <v>1991</v>
      </c>
      <c r="P15" s="289" t="s">
        <v>1992</v>
      </c>
    </row>
    <row r="16" spans="2:16" ht="34" x14ac:dyDescent="0.2">
      <c r="B16" s="283">
        <v>10</v>
      </c>
      <c r="C16" s="284">
        <v>1</v>
      </c>
      <c r="D16" s="284" t="s">
        <v>1864</v>
      </c>
      <c r="E16" s="284" t="str">
        <f t="shared" si="0"/>
        <v>Newly reported</v>
      </c>
      <c r="F16" s="283">
        <v>1</v>
      </c>
      <c r="G16" s="284" t="s">
        <v>38</v>
      </c>
      <c r="H16" s="285" t="s">
        <v>28</v>
      </c>
      <c r="I16" s="285" t="s">
        <v>28</v>
      </c>
      <c r="J16" s="285" t="s">
        <v>28</v>
      </c>
      <c r="K16" s="286" t="s">
        <v>28</v>
      </c>
      <c r="L16" s="285" t="s">
        <v>23</v>
      </c>
      <c r="M16" s="285" t="s">
        <v>38</v>
      </c>
      <c r="N16" s="285" t="s">
        <v>28</v>
      </c>
      <c r="O16" s="285" t="s">
        <v>1993</v>
      </c>
      <c r="P16" s="287" t="s">
        <v>1994</v>
      </c>
    </row>
    <row r="17" spans="2:16" ht="34" x14ac:dyDescent="0.2">
      <c r="B17" s="283">
        <v>11</v>
      </c>
      <c r="C17" s="284">
        <v>1</v>
      </c>
      <c r="D17" s="284" t="s">
        <v>1865</v>
      </c>
      <c r="E17" s="284" t="str">
        <f t="shared" si="0"/>
        <v>Newly reported</v>
      </c>
      <c r="F17" s="283">
        <v>1</v>
      </c>
      <c r="G17" s="284" t="s">
        <v>38</v>
      </c>
      <c r="H17" s="285" t="s">
        <v>1758</v>
      </c>
      <c r="I17" s="285" t="s">
        <v>28</v>
      </c>
      <c r="J17" s="285" t="s">
        <v>28</v>
      </c>
      <c r="K17" s="286" t="s">
        <v>28</v>
      </c>
      <c r="L17" s="285" t="s">
        <v>23</v>
      </c>
      <c r="M17" s="285" t="s">
        <v>38</v>
      </c>
      <c r="N17" s="285" t="s">
        <v>28</v>
      </c>
      <c r="O17" s="285" t="s">
        <v>1995</v>
      </c>
      <c r="P17" s="287" t="s">
        <v>1996</v>
      </c>
    </row>
    <row r="18" spans="2:16" ht="17" x14ac:dyDescent="0.2">
      <c r="B18" s="283">
        <v>12</v>
      </c>
      <c r="C18" s="284">
        <v>1</v>
      </c>
      <c r="D18" s="284" t="s">
        <v>1866</v>
      </c>
      <c r="E18" s="284" t="str">
        <f t="shared" si="0"/>
        <v>Known</v>
      </c>
      <c r="F18" s="283">
        <v>1</v>
      </c>
      <c r="G18" s="284" t="s">
        <v>83</v>
      </c>
      <c r="H18" s="285" t="s">
        <v>28</v>
      </c>
      <c r="I18" s="285" t="s">
        <v>28</v>
      </c>
      <c r="J18" s="285" t="s">
        <v>28</v>
      </c>
      <c r="K18" s="286" t="s">
        <v>28</v>
      </c>
      <c r="L18" s="285" t="s">
        <v>23</v>
      </c>
      <c r="M18" s="285" t="s">
        <v>1997</v>
      </c>
      <c r="N18" s="285" t="s">
        <v>28</v>
      </c>
      <c r="O18" s="285" t="s">
        <v>1998</v>
      </c>
      <c r="P18" s="287" t="s">
        <v>1999</v>
      </c>
    </row>
    <row r="19" spans="2:16" ht="17" x14ac:dyDescent="0.2">
      <c r="B19" s="283">
        <v>13</v>
      </c>
      <c r="C19" s="284">
        <v>1</v>
      </c>
      <c r="D19" s="284" t="s">
        <v>1867</v>
      </c>
      <c r="E19" s="284" t="str">
        <f t="shared" si="0"/>
        <v>Known</v>
      </c>
      <c r="F19" s="283">
        <v>1</v>
      </c>
      <c r="G19" s="284" t="s">
        <v>87</v>
      </c>
      <c r="H19" s="285" t="s">
        <v>28</v>
      </c>
      <c r="I19" s="285" t="s">
        <v>28</v>
      </c>
      <c r="J19" s="285" t="s">
        <v>28</v>
      </c>
      <c r="K19" s="286" t="s">
        <v>28</v>
      </c>
      <c r="L19" s="285" t="s">
        <v>23</v>
      </c>
      <c r="M19" s="285" t="s">
        <v>751</v>
      </c>
      <c r="N19" s="285" t="s">
        <v>28</v>
      </c>
      <c r="O19" s="285" t="s">
        <v>2000</v>
      </c>
      <c r="P19" s="287" t="s">
        <v>2001</v>
      </c>
    </row>
    <row r="20" spans="2:16" ht="34" x14ac:dyDescent="0.2">
      <c r="B20" s="283">
        <v>14</v>
      </c>
      <c r="C20" s="284">
        <v>1</v>
      </c>
      <c r="D20" s="284" t="s">
        <v>1868</v>
      </c>
      <c r="E20" s="284" t="str">
        <f t="shared" si="0"/>
        <v>Known</v>
      </c>
      <c r="F20" s="283">
        <v>2</v>
      </c>
      <c r="G20" s="284" t="s">
        <v>91</v>
      </c>
      <c r="H20" s="285" t="s">
        <v>28</v>
      </c>
      <c r="I20" s="285" t="s">
        <v>28</v>
      </c>
      <c r="J20" s="285" t="s">
        <v>28</v>
      </c>
      <c r="K20" s="286" t="s">
        <v>28</v>
      </c>
      <c r="L20" s="285" t="s">
        <v>842</v>
      </c>
      <c r="M20" s="285" t="s">
        <v>752</v>
      </c>
      <c r="N20" s="285" t="s">
        <v>28</v>
      </c>
      <c r="O20" s="285" t="s">
        <v>2002</v>
      </c>
      <c r="P20" s="287" t="s">
        <v>2003</v>
      </c>
    </row>
    <row r="21" spans="2:16" ht="17" x14ac:dyDescent="0.2">
      <c r="B21" s="283">
        <v>15</v>
      </c>
      <c r="C21" s="284">
        <v>2</v>
      </c>
      <c r="D21" s="284" t="s">
        <v>1869</v>
      </c>
      <c r="E21" s="284" t="str">
        <f t="shared" si="0"/>
        <v>Newly reported</v>
      </c>
      <c r="F21" s="283">
        <v>1</v>
      </c>
      <c r="G21" s="284" t="s">
        <v>38</v>
      </c>
      <c r="H21" s="285" t="s">
        <v>28</v>
      </c>
      <c r="I21" s="285" t="s">
        <v>28</v>
      </c>
      <c r="J21" s="285" t="s">
        <v>28</v>
      </c>
      <c r="K21" s="286" t="s">
        <v>28</v>
      </c>
      <c r="L21" s="285" t="s">
        <v>23</v>
      </c>
      <c r="M21" s="285" t="s">
        <v>38</v>
      </c>
      <c r="N21" s="285" t="s">
        <v>28</v>
      </c>
      <c r="O21" s="285" t="s">
        <v>2004</v>
      </c>
      <c r="P21" s="287" t="s">
        <v>2005</v>
      </c>
    </row>
    <row r="22" spans="2:16" ht="34" x14ac:dyDescent="0.2">
      <c r="B22" s="283">
        <v>16</v>
      </c>
      <c r="C22" s="284">
        <v>2</v>
      </c>
      <c r="D22" s="284" t="s">
        <v>1813</v>
      </c>
      <c r="E22" s="284" t="str">
        <f t="shared" si="0"/>
        <v>Known</v>
      </c>
      <c r="F22" s="283">
        <v>2</v>
      </c>
      <c r="G22" s="285" t="s">
        <v>2006</v>
      </c>
      <c r="H22" s="285" t="s">
        <v>28</v>
      </c>
      <c r="I22" s="285" t="s">
        <v>28</v>
      </c>
      <c r="J22" s="285" t="s">
        <v>103</v>
      </c>
      <c r="K22" s="286" t="s">
        <v>28</v>
      </c>
      <c r="L22" s="285" t="s">
        <v>755</v>
      </c>
      <c r="M22" s="285" t="s">
        <v>2007</v>
      </c>
      <c r="N22" s="285" t="s">
        <v>28</v>
      </c>
      <c r="O22" s="285" t="s">
        <v>2008</v>
      </c>
      <c r="P22" s="287" t="s">
        <v>2009</v>
      </c>
    </row>
    <row r="23" spans="2:16" ht="17" x14ac:dyDescent="0.2">
      <c r="B23" s="283">
        <v>17</v>
      </c>
      <c r="C23" s="284">
        <v>2</v>
      </c>
      <c r="D23" s="284" t="s">
        <v>1870</v>
      </c>
      <c r="E23" s="284" t="str">
        <f t="shared" si="0"/>
        <v>Newly reported</v>
      </c>
      <c r="F23" s="283">
        <v>1</v>
      </c>
      <c r="G23" s="284" t="s">
        <v>38</v>
      </c>
      <c r="H23" s="285" t="s">
        <v>1759</v>
      </c>
      <c r="I23" s="285" t="s">
        <v>28</v>
      </c>
      <c r="J23" s="285" t="s">
        <v>28</v>
      </c>
      <c r="K23" s="286" t="s">
        <v>28</v>
      </c>
      <c r="L23" s="285" t="s">
        <v>23</v>
      </c>
      <c r="M23" s="285" t="s">
        <v>2010</v>
      </c>
      <c r="N23" s="285" t="s">
        <v>28</v>
      </c>
      <c r="O23" s="285" t="s">
        <v>2011</v>
      </c>
      <c r="P23" s="287" t="s">
        <v>2012</v>
      </c>
    </row>
    <row r="24" spans="2:16" ht="17" x14ac:dyDescent="0.2">
      <c r="B24" s="283">
        <v>18</v>
      </c>
      <c r="C24" s="284">
        <v>2</v>
      </c>
      <c r="D24" s="284" t="s">
        <v>1589</v>
      </c>
      <c r="E24" s="284" t="str">
        <f t="shared" si="0"/>
        <v>Newly reported</v>
      </c>
      <c r="F24" s="283">
        <v>1</v>
      </c>
      <c r="G24" s="284" t="s">
        <v>38</v>
      </c>
      <c r="H24" s="285" t="s">
        <v>28</v>
      </c>
      <c r="I24" s="285" t="s">
        <v>2013</v>
      </c>
      <c r="J24" s="285" t="s">
        <v>28</v>
      </c>
      <c r="K24" s="286" t="s">
        <v>1587</v>
      </c>
      <c r="L24" s="285" t="s">
        <v>23</v>
      </c>
      <c r="M24" s="285" t="s">
        <v>38</v>
      </c>
      <c r="N24" s="285" t="s">
        <v>28</v>
      </c>
      <c r="O24" s="285" t="s">
        <v>2014</v>
      </c>
      <c r="P24" s="287" t="s">
        <v>2015</v>
      </c>
    </row>
    <row r="25" spans="2:16" ht="34" x14ac:dyDescent="0.2">
      <c r="B25" s="283">
        <v>19</v>
      </c>
      <c r="C25" s="284">
        <v>2</v>
      </c>
      <c r="D25" s="284" t="s">
        <v>1871</v>
      </c>
      <c r="E25" s="284" t="str">
        <f t="shared" si="0"/>
        <v>Known</v>
      </c>
      <c r="F25" s="283">
        <v>2</v>
      </c>
      <c r="G25" s="284" t="s">
        <v>113</v>
      </c>
      <c r="H25" s="285" t="s">
        <v>28</v>
      </c>
      <c r="I25" s="285" t="s">
        <v>28</v>
      </c>
      <c r="J25" s="285" t="s">
        <v>28</v>
      </c>
      <c r="K25" s="286" t="s">
        <v>28</v>
      </c>
      <c r="L25" s="285" t="s">
        <v>23</v>
      </c>
      <c r="M25" s="285" t="s">
        <v>2016</v>
      </c>
      <c r="N25" s="285" t="s">
        <v>28</v>
      </c>
      <c r="O25" s="285" t="s">
        <v>2017</v>
      </c>
      <c r="P25" s="287" t="s">
        <v>2018</v>
      </c>
    </row>
    <row r="26" spans="2:16" ht="17" x14ac:dyDescent="0.2">
      <c r="B26" s="283">
        <v>20</v>
      </c>
      <c r="C26" s="284">
        <v>2</v>
      </c>
      <c r="D26" s="284" t="s">
        <v>1872</v>
      </c>
      <c r="E26" s="284" t="str">
        <f t="shared" si="0"/>
        <v>Newly reported</v>
      </c>
      <c r="F26" s="283">
        <v>1</v>
      </c>
      <c r="G26" s="284" t="s">
        <v>38</v>
      </c>
      <c r="H26" s="285" t="s">
        <v>28</v>
      </c>
      <c r="I26" s="285" t="s">
        <v>28</v>
      </c>
      <c r="J26" s="285" t="s">
        <v>28</v>
      </c>
      <c r="K26" s="286" t="s">
        <v>28</v>
      </c>
      <c r="L26" s="285" t="s">
        <v>23</v>
      </c>
      <c r="M26" s="285" t="s">
        <v>38</v>
      </c>
      <c r="N26" s="285" t="s">
        <v>28</v>
      </c>
      <c r="O26" s="285" t="s">
        <v>2019</v>
      </c>
      <c r="P26" s="287" t="s">
        <v>2020</v>
      </c>
    </row>
    <row r="27" spans="2:16" ht="17" x14ac:dyDescent="0.2">
      <c r="B27" s="283">
        <v>21</v>
      </c>
      <c r="C27" s="284">
        <v>2</v>
      </c>
      <c r="D27" s="284" t="s">
        <v>1873</v>
      </c>
      <c r="E27" s="284" t="str">
        <f t="shared" si="0"/>
        <v>Newly reported</v>
      </c>
      <c r="F27" s="283">
        <v>1</v>
      </c>
      <c r="G27" s="284" t="s">
        <v>38</v>
      </c>
      <c r="H27" s="285" t="s">
        <v>28</v>
      </c>
      <c r="I27" s="285" t="s">
        <v>28</v>
      </c>
      <c r="J27" s="285" t="s">
        <v>28</v>
      </c>
      <c r="K27" s="286" t="s">
        <v>28</v>
      </c>
      <c r="L27" s="285" t="s">
        <v>23</v>
      </c>
      <c r="M27" s="285" t="s">
        <v>38</v>
      </c>
      <c r="N27" s="285" t="s">
        <v>28</v>
      </c>
      <c r="O27" s="285" t="s">
        <v>2021</v>
      </c>
      <c r="P27" s="287" t="s">
        <v>2022</v>
      </c>
    </row>
    <row r="28" spans="2:16" ht="17" x14ac:dyDescent="0.2">
      <c r="B28" s="283">
        <v>22</v>
      </c>
      <c r="C28" s="284">
        <v>2</v>
      </c>
      <c r="D28" s="284" t="s">
        <v>1874</v>
      </c>
      <c r="E28" s="284" t="str">
        <f t="shared" si="0"/>
        <v>Newly reported</v>
      </c>
      <c r="F28" s="283">
        <v>1</v>
      </c>
      <c r="G28" s="284" t="s">
        <v>38</v>
      </c>
      <c r="H28" s="285" t="s">
        <v>28</v>
      </c>
      <c r="I28" s="285" t="s">
        <v>28</v>
      </c>
      <c r="J28" s="285" t="s">
        <v>28</v>
      </c>
      <c r="K28" s="286" t="s">
        <v>28</v>
      </c>
      <c r="L28" s="285" t="s">
        <v>23</v>
      </c>
      <c r="M28" s="285" t="s">
        <v>38</v>
      </c>
      <c r="N28" s="285" t="s">
        <v>28</v>
      </c>
      <c r="O28" s="285" t="s">
        <v>2023</v>
      </c>
      <c r="P28" s="287" t="s">
        <v>2024</v>
      </c>
    </row>
    <row r="29" spans="2:16" ht="17" x14ac:dyDescent="0.2">
      <c r="B29" s="283">
        <v>23</v>
      </c>
      <c r="C29" s="284">
        <v>2</v>
      </c>
      <c r="D29" s="284" t="s">
        <v>1875</v>
      </c>
      <c r="E29" s="284" t="str">
        <f t="shared" si="0"/>
        <v>Newly reported</v>
      </c>
      <c r="F29" s="283">
        <v>1</v>
      </c>
      <c r="G29" s="284" t="s">
        <v>38</v>
      </c>
      <c r="H29" s="285" t="s">
        <v>28</v>
      </c>
      <c r="I29" s="285" t="s">
        <v>28</v>
      </c>
      <c r="J29" s="285" t="s">
        <v>28</v>
      </c>
      <c r="K29" s="286" t="s">
        <v>28</v>
      </c>
      <c r="L29" s="285" t="s">
        <v>23</v>
      </c>
      <c r="M29" s="285" t="s">
        <v>38</v>
      </c>
      <c r="N29" s="285" t="s">
        <v>28</v>
      </c>
      <c r="O29" s="285" t="s">
        <v>2025</v>
      </c>
      <c r="P29" s="287" t="s">
        <v>2026</v>
      </c>
    </row>
    <row r="30" spans="2:16" ht="17" x14ac:dyDescent="0.2">
      <c r="B30" s="283">
        <v>24</v>
      </c>
      <c r="C30" s="284">
        <v>3</v>
      </c>
      <c r="D30" s="284" t="s">
        <v>1876</v>
      </c>
      <c r="E30" s="284" t="str">
        <f t="shared" si="0"/>
        <v>Known</v>
      </c>
      <c r="F30" s="283">
        <v>1</v>
      </c>
      <c r="G30" s="284" t="s">
        <v>133</v>
      </c>
      <c r="H30" s="285" t="s">
        <v>28</v>
      </c>
      <c r="I30" s="285" t="s">
        <v>28</v>
      </c>
      <c r="J30" s="285" t="s">
        <v>28</v>
      </c>
      <c r="K30" s="286" t="s">
        <v>28</v>
      </c>
      <c r="L30" s="285" t="s">
        <v>23</v>
      </c>
      <c r="M30" s="285" t="s">
        <v>2027</v>
      </c>
      <c r="N30" s="285" t="s">
        <v>28</v>
      </c>
      <c r="O30" s="285" t="s">
        <v>2028</v>
      </c>
      <c r="P30" s="287" t="s">
        <v>2029</v>
      </c>
    </row>
    <row r="31" spans="2:16" ht="17" x14ac:dyDescent="0.2">
      <c r="B31" s="283">
        <v>25</v>
      </c>
      <c r="C31" s="284">
        <v>3</v>
      </c>
      <c r="D31" s="284" t="s">
        <v>1877</v>
      </c>
      <c r="E31" s="284" t="str">
        <f t="shared" si="0"/>
        <v>Known</v>
      </c>
      <c r="F31" s="283">
        <v>1</v>
      </c>
      <c r="G31" s="284" t="s">
        <v>137</v>
      </c>
      <c r="H31" s="285" t="s">
        <v>28</v>
      </c>
      <c r="I31" s="285" t="s">
        <v>28</v>
      </c>
      <c r="J31" s="285" t="s">
        <v>28</v>
      </c>
      <c r="K31" s="286" t="s">
        <v>28</v>
      </c>
      <c r="L31" s="285" t="s">
        <v>23</v>
      </c>
      <c r="M31" s="285" t="s">
        <v>2030</v>
      </c>
      <c r="N31" s="285" t="s">
        <v>28</v>
      </c>
      <c r="O31" s="285" t="s">
        <v>2031</v>
      </c>
      <c r="P31" s="287" t="s">
        <v>2032</v>
      </c>
    </row>
    <row r="32" spans="2:16" ht="17" x14ac:dyDescent="0.2">
      <c r="B32" s="283">
        <v>26</v>
      </c>
      <c r="C32" s="284">
        <v>3</v>
      </c>
      <c r="D32" s="284" t="s">
        <v>1878</v>
      </c>
      <c r="E32" s="284" t="str">
        <f t="shared" si="0"/>
        <v>Newly reported</v>
      </c>
      <c r="F32" s="283">
        <v>1</v>
      </c>
      <c r="G32" s="284" t="s">
        <v>38</v>
      </c>
      <c r="H32" s="285" t="s">
        <v>1760</v>
      </c>
      <c r="I32" s="285" t="s">
        <v>28</v>
      </c>
      <c r="J32" s="285" t="s">
        <v>28</v>
      </c>
      <c r="K32" s="286" t="s">
        <v>28</v>
      </c>
      <c r="L32" s="285" t="s">
        <v>23</v>
      </c>
      <c r="M32" s="285" t="s">
        <v>38</v>
      </c>
      <c r="N32" s="285" t="s">
        <v>28</v>
      </c>
      <c r="O32" s="285" t="s">
        <v>2033</v>
      </c>
      <c r="P32" s="287" t="s">
        <v>2034</v>
      </c>
    </row>
    <row r="33" spans="2:16" ht="17" x14ac:dyDescent="0.2">
      <c r="B33" s="283">
        <v>27</v>
      </c>
      <c r="C33" s="284">
        <v>3</v>
      </c>
      <c r="D33" s="284" t="s">
        <v>1879</v>
      </c>
      <c r="E33" s="284" t="str">
        <f t="shared" si="0"/>
        <v>Newly reported</v>
      </c>
      <c r="F33" s="283">
        <v>1</v>
      </c>
      <c r="G33" s="284" t="s">
        <v>38</v>
      </c>
      <c r="H33" s="285" t="s">
        <v>28</v>
      </c>
      <c r="I33" s="285" t="s">
        <v>28</v>
      </c>
      <c r="J33" s="285" t="s">
        <v>28</v>
      </c>
      <c r="K33" s="286" t="s">
        <v>28</v>
      </c>
      <c r="L33" s="285" t="s">
        <v>23</v>
      </c>
      <c r="M33" s="285" t="s">
        <v>38</v>
      </c>
      <c r="N33" s="285" t="s">
        <v>28</v>
      </c>
      <c r="O33" s="285" t="s">
        <v>2035</v>
      </c>
      <c r="P33" s="287" t="s">
        <v>2036</v>
      </c>
    </row>
    <row r="34" spans="2:16" ht="17" x14ac:dyDescent="0.2">
      <c r="B34" s="283">
        <v>28</v>
      </c>
      <c r="C34" s="284">
        <v>3</v>
      </c>
      <c r="D34" s="284" t="s">
        <v>1817</v>
      </c>
      <c r="E34" s="284" t="str">
        <f t="shared" si="0"/>
        <v>Newly reported</v>
      </c>
      <c r="F34" s="283">
        <v>1</v>
      </c>
      <c r="G34" s="284" t="s">
        <v>38</v>
      </c>
      <c r="H34" s="285" t="s">
        <v>28</v>
      </c>
      <c r="I34" s="285" t="s">
        <v>28</v>
      </c>
      <c r="J34" s="285" t="s">
        <v>145</v>
      </c>
      <c r="K34" s="286" t="s">
        <v>28</v>
      </c>
      <c r="L34" s="285" t="s">
        <v>23</v>
      </c>
      <c r="M34" s="285" t="s">
        <v>38</v>
      </c>
      <c r="N34" s="285" t="s">
        <v>28</v>
      </c>
      <c r="O34" s="285" t="s">
        <v>2037</v>
      </c>
      <c r="P34" s="287" t="s">
        <v>2038</v>
      </c>
    </row>
    <row r="35" spans="2:16" ht="17" x14ac:dyDescent="0.2">
      <c r="B35" s="283">
        <v>29</v>
      </c>
      <c r="C35" s="284">
        <v>3</v>
      </c>
      <c r="D35" s="284" t="s">
        <v>1880</v>
      </c>
      <c r="E35" s="284" t="str">
        <f t="shared" si="0"/>
        <v>Known</v>
      </c>
      <c r="F35" s="283">
        <v>1</v>
      </c>
      <c r="G35" s="284" t="s">
        <v>149</v>
      </c>
      <c r="H35" s="285" t="s">
        <v>28</v>
      </c>
      <c r="I35" s="285" t="s">
        <v>28</v>
      </c>
      <c r="J35" s="285" t="s">
        <v>28</v>
      </c>
      <c r="K35" s="286" t="s">
        <v>28</v>
      </c>
      <c r="L35" s="285" t="s">
        <v>23</v>
      </c>
      <c r="M35" s="285" t="s">
        <v>2039</v>
      </c>
      <c r="N35" s="285" t="s">
        <v>28</v>
      </c>
      <c r="O35" s="285" t="s">
        <v>2040</v>
      </c>
      <c r="P35" s="287" t="s">
        <v>2041</v>
      </c>
    </row>
    <row r="36" spans="2:16" ht="17" x14ac:dyDescent="0.2">
      <c r="B36" s="283">
        <v>30</v>
      </c>
      <c r="C36" s="284">
        <v>3</v>
      </c>
      <c r="D36" s="284" t="s">
        <v>1881</v>
      </c>
      <c r="E36" s="284" t="str">
        <f t="shared" si="0"/>
        <v>Newly reported</v>
      </c>
      <c r="F36" s="283">
        <v>1</v>
      </c>
      <c r="G36" s="284" t="s">
        <v>38</v>
      </c>
      <c r="H36" s="285" t="s">
        <v>28</v>
      </c>
      <c r="I36" s="285" t="s">
        <v>28</v>
      </c>
      <c r="J36" s="285" t="s">
        <v>28</v>
      </c>
      <c r="K36" s="286" t="s">
        <v>28</v>
      </c>
      <c r="L36" s="285" t="s">
        <v>23</v>
      </c>
      <c r="M36" s="285" t="s">
        <v>38</v>
      </c>
      <c r="N36" s="285" t="s">
        <v>28</v>
      </c>
      <c r="O36" s="285" t="s">
        <v>2042</v>
      </c>
      <c r="P36" s="287" t="s">
        <v>2043</v>
      </c>
    </row>
    <row r="37" spans="2:16" ht="34" x14ac:dyDescent="0.2">
      <c r="B37" s="283">
        <v>31</v>
      </c>
      <c r="C37" s="284">
        <v>4</v>
      </c>
      <c r="D37" s="284" t="s">
        <v>1882</v>
      </c>
      <c r="E37" s="284" t="str">
        <f t="shared" si="0"/>
        <v>Newly reported</v>
      </c>
      <c r="F37" s="283">
        <v>2</v>
      </c>
      <c r="G37" s="284" t="s">
        <v>38</v>
      </c>
      <c r="H37" s="285" t="s">
        <v>1761</v>
      </c>
      <c r="I37" s="285" t="s">
        <v>28</v>
      </c>
      <c r="J37" s="285" t="s">
        <v>28</v>
      </c>
      <c r="K37" s="286" t="s">
        <v>28</v>
      </c>
      <c r="L37" s="285" t="s">
        <v>23</v>
      </c>
      <c r="M37" s="285" t="s">
        <v>38</v>
      </c>
      <c r="N37" s="285" t="s">
        <v>28</v>
      </c>
      <c r="O37" s="285" t="s">
        <v>2044</v>
      </c>
      <c r="P37" s="287" t="s">
        <v>2045</v>
      </c>
    </row>
    <row r="38" spans="2:16" ht="17" x14ac:dyDescent="0.2">
      <c r="B38" s="283">
        <v>32</v>
      </c>
      <c r="C38" s="284">
        <v>5</v>
      </c>
      <c r="D38" s="284" t="s">
        <v>1595</v>
      </c>
      <c r="E38" s="284" t="str">
        <f t="shared" si="0"/>
        <v>Newly reported</v>
      </c>
      <c r="F38" s="283">
        <v>1</v>
      </c>
      <c r="G38" s="284" t="s">
        <v>38</v>
      </c>
      <c r="H38" s="285" t="s">
        <v>28</v>
      </c>
      <c r="I38" s="285" t="s">
        <v>2046</v>
      </c>
      <c r="J38" s="285" t="s">
        <v>28</v>
      </c>
      <c r="K38" s="286" t="s">
        <v>1593</v>
      </c>
      <c r="L38" s="285" t="s">
        <v>23</v>
      </c>
      <c r="M38" s="285" t="s">
        <v>38</v>
      </c>
      <c r="N38" s="285" t="s">
        <v>28</v>
      </c>
      <c r="O38" s="285" t="s">
        <v>2047</v>
      </c>
      <c r="P38" s="287" t="s">
        <v>2048</v>
      </c>
    </row>
    <row r="39" spans="2:16" ht="17" x14ac:dyDescent="0.2">
      <c r="B39" s="283">
        <v>33</v>
      </c>
      <c r="C39" s="284">
        <v>5</v>
      </c>
      <c r="D39" s="284" t="s">
        <v>1883</v>
      </c>
      <c r="E39" s="284" t="str">
        <f t="shared" si="0"/>
        <v>Known</v>
      </c>
      <c r="F39" s="283">
        <v>1</v>
      </c>
      <c r="G39" s="284" t="s">
        <v>166</v>
      </c>
      <c r="H39" s="285" t="s">
        <v>28</v>
      </c>
      <c r="I39" s="285" t="s">
        <v>28</v>
      </c>
      <c r="J39" s="285" t="s">
        <v>28</v>
      </c>
      <c r="K39" s="286" t="s">
        <v>28</v>
      </c>
      <c r="L39" s="285" t="s">
        <v>23</v>
      </c>
      <c r="M39" s="285" t="s">
        <v>2049</v>
      </c>
      <c r="N39" s="285" t="s">
        <v>28</v>
      </c>
      <c r="O39" s="285" t="s">
        <v>2050</v>
      </c>
      <c r="P39" s="287" t="s">
        <v>38</v>
      </c>
    </row>
    <row r="40" spans="2:16" ht="17" x14ac:dyDescent="0.2">
      <c r="B40" s="283">
        <v>34</v>
      </c>
      <c r="C40" s="284">
        <v>5</v>
      </c>
      <c r="D40" s="284" t="s">
        <v>1884</v>
      </c>
      <c r="E40" s="284" t="str">
        <f t="shared" si="0"/>
        <v>Newly reported</v>
      </c>
      <c r="F40" s="283">
        <v>1</v>
      </c>
      <c r="G40" s="284" t="s">
        <v>38</v>
      </c>
      <c r="H40" s="285" t="s">
        <v>28</v>
      </c>
      <c r="I40" s="285" t="s">
        <v>28</v>
      </c>
      <c r="J40" s="285" t="s">
        <v>28</v>
      </c>
      <c r="K40" s="286" t="s">
        <v>28</v>
      </c>
      <c r="L40" s="285" t="s">
        <v>23</v>
      </c>
      <c r="M40" s="285" t="s">
        <v>38</v>
      </c>
      <c r="N40" s="285" t="s">
        <v>28</v>
      </c>
      <c r="O40" s="285" t="s">
        <v>2051</v>
      </c>
      <c r="P40" s="287" t="s">
        <v>2052</v>
      </c>
    </row>
    <row r="41" spans="2:16" ht="34" x14ac:dyDescent="0.2">
      <c r="B41" s="283">
        <v>35</v>
      </c>
      <c r="C41" s="284">
        <v>5</v>
      </c>
      <c r="D41" s="284" t="s">
        <v>1599</v>
      </c>
      <c r="E41" s="284" t="str">
        <f t="shared" si="0"/>
        <v>Known</v>
      </c>
      <c r="F41" s="283">
        <v>2</v>
      </c>
      <c r="G41" s="284" t="s">
        <v>176</v>
      </c>
      <c r="H41" s="285" t="s">
        <v>28</v>
      </c>
      <c r="I41" s="285" t="s">
        <v>2053</v>
      </c>
      <c r="J41" s="285" t="s">
        <v>28</v>
      </c>
      <c r="K41" s="286" t="s">
        <v>2054</v>
      </c>
      <c r="L41" s="285" t="s">
        <v>758</v>
      </c>
      <c r="M41" s="285" t="s">
        <v>2055</v>
      </c>
      <c r="N41" s="285" t="s">
        <v>28</v>
      </c>
      <c r="O41" s="285" t="s">
        <v>2056</v>
      </c>
      <c r="P41" s="287" t="s">
        <v>2057</v>
      </c>
    </row>
    <row r="42" spans="2:16" ht="51" x14ac:dyDescent="0.2">
      <c r="B42" s="283">
        <v>36</v>
      </c>
      <c r="C42" s="284">
        <v>5</v>
      </c>
      <c r="D42" s="284" t="s">
        <v>1608</v>
      </c>
      <c r="E42" s="284" t="str">
        <f t="shared" si="0"/>
        <v>Known</v>
      </c>
      <c r="F42" s="283">
        <v>2</v>
      </c>
      <c r="G42" s="284" t="s">
        <v>181</v>
      </c>
      <c r="H42" s="285" t="s">
        <v>28</v>
      </c>
      <c r="I42" s="285" t="s">
        <v>2058</v>
      </c>
      <c r="J42" s="285" t="s">
        <v>28</v>
      </c>
      <c r="K42" s="286" t="s">
        <v>1606</v>
      </c>
      <c r="L42" s="285" t="s">
        <v>2405</v>
      </c>
      <c r="M42" s="285" t="s">
        <v>2059</v>
      </c>
      <c r="N42" s="285" t="s">
        <v>28</v>
      </c>
      <c r="O42" s="285" t="s">
        <v>2060</v>
      </c>
      <c r="P42" s="287" t="s">
        <v>2061</v>
      </c>
    </row>
    <row r="43" spans="2:16" ht="17" x14ac:dyDescent="0.2">
      <c r="B43" s="283">
        <v>37</v>
      </c>
      <c r="C43" s="284">
        <v>5</v>
      </c>
      <c r="D43" s="284" t="s">
        <v>1885</v>
      </c>
      <c r="E43" s="284" t="str">
        <f t="shared" si="0"/>
        <v>Known</v>
      </c>
      <c r="F43" s="283">
        <v>1</v>
      </c>
      <c r="G43" s="284" t="s">
        <v>187</v>
      </c>
      <c r="H43" s="285" t="s">
        <v>28</v>
      </c>
      <c r="I43" s="285" t="s">
        <v>28</v>
      </c>
      <c r="J43" s="285" t="s">
        <v>28</v>
      </c>
      <c r="K43" s="286" t="s">
        <v>28</v>
      </c>
      <c r="L43" s="285" t="s">
        <v>23</v>
      </c>
      <c r="M43" s="285" t="s">
        <v>2062</v>
      </c>
      <c r="N43" s="285" t="s">
        <v>28</v>
      </c>
      <c r="O43" s="285" t="s">
        <v>2063</v>
      </c>
      <c r="P43" s="287" t="s">
        <v>2064</v>
      </c>
    </row>
    <row r="44" spans="2:16" ht="119" x14ac:dyDescent="0.2">
      <c r="B44" s="283">
        <v>38</v>
      </c>
      <c r="C44" s="284">
        <v>5</v>
      </c>
      <c r="D44" s="284" t="s">
        <v>1819</v>
      </c>
      <c r="E44" s="284" t="str">
        <f t="shared" si="0"/>
        <v>Known</v>
      </c>
      <c r="F44" s="283">
        <v>7</v>
      </c>
      <c r="G44" s="284" t="s">
        <v>191</v>
      </c>
      <c r="H44" s="285" t="s">
        <v>28</v>
      </c>
      <c r="I44" s="285" t="s">
        <v>28</v>
      </c>
      <c r="J44" s="285" t="s">
        <v>1821</v>
      </c>
      <c r="K44" s="286" t="s">
        <v>28</v>
      </c>
      <c r="L44" s="285" t="s">
        <v>23</v>
      </c>
      <c r="M44" s="285" t="s">
        <v>2065</v>
      </c>
      <c r="N44" s="285" t="s">
        <v>2349</v>
      </c>
      <c r="O44" s="285" t="s">
        <v>2066</v>
      </c>
      <c r="P44" s="287" t="s">
        <v>2067</v>
      </c>
    </row>
    <row r="45" spans="2:16" ht="34" x14ac:dyDescent="0.2">
      <c r="B45" s="283">
        <v>39</v>
      </c>
      <c r="C45" s="284">
        <v>6</v>
      </c>
      <c r="D45" s="284" t="s">
        <v>1886</v>
      </c>
      <c r="E45" s="284" t="str">
        <f t="shared" si="0"/>
        <v>Known</v>
      </c>
      <c r="F45" s="283">
        <v>2</v>
      </c>
      <c r="G45" s="284" t="s">
        <v>207</v>
      </c>
      <c r="H45" s="285" t="s">
        <v>28</v>
      </c>
      <c r="I45" s="285" t="s">
        <v>28</v>
      </c>
      <c r="J45" s="285" t="s">
        <v>28</v>
      </c>
      <c r="K45" s="286" t="s">
        <v>28</v>
      </c>
      <c r="L45" s="285" t="s">
        <v>23</v>
      </c>
      <c r="M45" s="285" t="s">
        <v>2068</v>
      </c>
      <c r="N45" s="285" t="s">
        <v>28</v>
      </c>
      <c r="O45" s="285" t="s">
        <v>2069</v>
      </c>
      <c r="P45" s="287" t="s">
        <v>2070</v>
      </c>
    </row>
    <row r="46" spans="2:16" ht="17" x14ac:dyDescent="0.2">
      <c r="B46" s="283">
        <v>40</v>
      </c>
      <c r="C46" s="284">
        <v>6</v>
      </c>
      <c r="D46" s="284" t="s">
        <v>1887</v>
      </c>
      <c r="E46" s="284" t="str">
        <f t="shared" si="0"/>
        <v>Known</v>
      </c>
      <c r="F46" s="283">
        <v>1</v>
      </c>
      <c r="G46" s="284" t="s">
        <v>213</v>
      </c>
      <c r="H46" s="285" t="s">
        <v>28</v>
      </c>
      <c r="I46" s="285" t="s">
        <v>28</v>
      </c>
      <c r="J46" s="285" t="s">
        <v>28</v>
      </c>
      <c r="K46" s="286" t="s">
        <v>28</v>
      </c>
      <c r="L46" s="285" t="s">
        <v>23</v>
      </c>
      <c r="M46" s="285" t="s">
        <v>2071</v>
      </c>
      <c r="N46" s="285" t="s">
        <v>28</v>
      </c>
      <c r="O46" s="285" t="s">
        <v>2072</v>
      </c>
      <c r="P46" s="287" t="s">
        <v>2073</v>
      </c>
    </row>
    <row r="47" spans="2:16" ht="51" x14ac:dyDescent="0.2">
      <c r="B47" s="283">
        <v>41</v>
      </c>
      <c r="C47" s="284">
        <v>6</v>
      </c>
      <c r="D47" s="284" t="s">
        <v>1610</v>
      </c>
      <c r="E47" s="284" t="str">
        <f t="shared" si="0"/>
        <v>Known</v>
      </c>
      <c r="F47" s="283" t="s">
        <v>1753</v>
      </c>
      <c r="G47" s="284" t="s">
        <v>218</v>
      </c>
      <c r="H47" s="285" t="s">
        <v>28</v>
      </c>
      <c r="I47" s="285" t="s">
        <v>28</v>
      </c>
      <c r="J47" s="285" t="s">
        <v>28</v>
      </c>
      <c r="K47" s="286" t="s">
        <v>28</v>
      </c>
      <c r="L47" s="285" t="s">
        <v>1753</v>
      </c>
      <c r="M47" s="285" t="s">
        <v>2074</v>
      </c>
      <c r="N47" s="285" t="s">
        <v>2344</v>
      </c>
      <c r="O47" s="285" t="s">
        <v>2075</v>
      </c>
      <c r="P47" s="287" t="s">
        <v>2076</v>
      </c>
    </row>
    <row r="48" spans="2:16" ht="51" x14ac:dyDescent="0.2">
      <c r="B48" s="283">
        <v>42</v>
      </c>
      <c r="C48" s="284">
        <v>6</v>
      </c>
      <c r="D48" s="284" t="s">
        <v>1613</v>
      </c>
      <c r="E48" s="284" t="str">
        <f t="shared" si="0"/>
        <v>Known</v>
      </c>
      <c r="F48" s="283">
        <v>3</v>
      </c>
      <c r="G48" s="284" t="s">
        <v>221</v>
      </c>
      <c r="H48" s="285" t="s">
        <v>28</v>
      </c>
      <c r="I48" s="285" t="s">
        <v>2077</v>
      </c>
      <c r="J48" s="285" t="s">
        <v>2078</v>
      </c>
      <c r="K48" s="286" t="s">
        <v>1611</v>
      </c>
      <c r="L48" s="285" t="s">
        <v>762</v>
      </c>
      <c r="M48" s="285" t="s">
        <v>2079</v>
      </c>
      <c r="N48" s="285" t="s">
        <v>28</v>
      </c>
      <c r="O48" s="285" t="s">
        <v>2080</v>
      </c>
      <c r="P48" s="287" t="s">
        <v>2081</v>
      </c>
    </row>
    <row r="49" spans="2:16" ht="34" x14ac:dyDescent="0.2">
      <c r="B49" s="283">
        <v>43</v>
      </c>
      <c r="C49" s="284">
        <v>6</v>
      </c>
      <c r="D49" s="284" t="s">
        <v>1888</v>
      </c>
      <c r="E49" s="284" t="str">
        <f t="shared" si="0"/>
        <v>Known</v>
      </c>
      <c r="F49" s="283">
        <v>2</v>
      </c>
      <c r="G49" s="284" t="s">
        <v>229</v>
      </c>
      <c r="H49" s="285" t="s">
        <v>28</v>
      </c>
      <c r="I49" s="285" t="s">
        <v>28</v>
      </c>
      <c r="J49" s="285" t="s">
        <v>28</v>
      </c>
      <c r="K49" s="286" t="s">
        <v>28</v>
      </c>
      <c r="L49" s="285" t="s">
        <v>23</v>
      </c>
      <c r="M49" s="285" t="s">
        <v>2082</v>
      </c>
      <c r="N49" s="285" t="s">
        <v>28</v>
      </c>
      <c r="O49" s="285" t="s">
        <v>2083</v>
      </c>
      <c r="P49" s="287" t="s">
        <v>2084</v>
      </c>
    </row>
    <row r="50" spans="2:16" ht="17" x14ac:dyDescent="0.2">
      <c r="B50" s="283">
        <v>44</v>
      </c>
      <c r="C50" s="284">
        <v>6</v>
      </c>
      <c r="D50" s="284" t="s">
        <v>1889</v>
      </c>
      <c r="E50" s="284" t="str">
        <f t="shared" si="0"/>
        <v>Known</v>
      </c>
      <c r="F50" s="283">
        <v>1</v>
      </c>
      <c r="G50" s="284" t="s">
        <v>235</v>
      </c>
      <c r="H50" s="285" t="s">
        <v>28</v>
      </c>
      <c r="I50" s="285" t="s">
        <v>28</v>
      </c>
      <c r="J50" s="285" t="s">
        <v>28</v>
      </c>
      <c r="K50" s="286" t="s">
        <v>28</v>
      </c>
      <c r="L50" s="285" t="s">
        <v>23</v>
      </c>
      <c r="M50" s="285" t="s">
        <v>2085</v>
      </c>
      <c r="N50" s="285" t="s">
        <v>28</v>
      </c>
      <c r="O50" s="285" t="s">
        <v>2086</v>
      </c>
      <c r="P50" s="287" t="s">
        <v>2087</v>
      </c>
    </row>
    <row r="51" spans="2:16" ht="17" x14ac:dyDescent="0.2">
      <c r="B51" s="283">
        <v>45</v>
      </c>
      <c r="C51" s="284">
        <v>7</v>
      </c>
      <c r="D51" s="284" t="s">
        <v>1890</v>
      </c>
      <c r="E51" s="284" t="str">
        <f t="shared" si="0"/>
        <v>Newly reported</v>
      </c>
      <c r="F51" s="283">
        <v>1</v>
      </c>
      <c r="G51" s="284" t="s">
        <v>38</v>
      </c>
      <c r="H51" s="285" t="s">
        <v>28</v>
      </c>
      <c r="I51" s="285" t="s">
        <v>28</v>
      </c>
      <c r="J51" s="285" t="s">
        <v>28</v>
      </c>
      <c r="K51" s="286" t="s">
        <v>28</v>
      </c>
      <c r="L51" s="285" t="s">
        <v>23</v>
      </c>
      <c r="M51" s="285" t="s">
        <v>38</v>
      </c>
      <c r="N51" s="285" t="s">
        <v>2345</v>
      </c>
      <c r="O51" s="285" t="s">
        <v>2088</v>
      </c>
      <c r="P51" s="287" t="s">
        <v>2089</v>
      </c>
    </row>
    <row r="52" spans="2:16" ht="17" x14ac:dyDescent="0.2">
      <c r="B52" s="283">
        <v>46</v>
      </c>
      <c r="C52" s="284">
        <v>7</v>
      </c>
      <c r="D52" s="284" t="s">
        <v>1617</v>
      </c>
      <c r="E52" s="284" t="str">
        <f t="shared" si="0"/>
        <v>Newly reported</v>
      </c>
      <c r="F52" s="283">
        <v>1</v>
      </c>
      <c r="G52" s="284" t="s">
        <v>38</v>
      </c>
      <c r="H52" s="285" t="s">
        <v>28</v>
      </c>
      <c r="I52" s="285" t="s">
        <v>2090</v>
      </c>
      <c r="J52" s="285" t="s">
        <v>28</v>
      </c>
      <c r="K52" s="286" t="s">
        <v>1615</v>
      </c>
      <c r="L52" s="285" t="s">
        <v>23</v>
      </c>
      <c r="M52" s="285" t="s">
        <v>38</v>
      </c>
      <c r="N52" s="285" t="s">
        <v>28</v>
      </c>
      <c r="O52" s="285" t="s">
        <v>2091</v>
      </c>
      <c r="P52" s="287" t="s">
        <v>2092</v>
      </c>
    </row>
    <row r="53" spans="2:16" ht="17" x14ac:dyDescent="0.2">
      <c r="B53" s="283">
        <v>47</v>
      </c>
      <c r="C53" s="284">
        <v>7</v>
      </c>
      <c r="D53" s="284" t="s">
        <v>1891</v>
      </c>
      <c r="E53" s="284" t="str">
        <f t="shared" si="0"/>
        <v>Known</v>
      </c>
      <c r="F53" s="283">
        <v>1</v>
      </c>
      <c r="G53" s="284" t="s">
        <v>245</v>
      </c>
      <c r="H53" s="285" t="s">
        <v>28</v>
      </c>
      <c r="I53" s="285" t="s">
        <v>28</v>
      </c>
      <c r="J53" s="285" t="s">
        <v>28</v>
      </c>
      <c r="K53" s="286" t="s">
        <v>28</v>
      </c>
      <c r="L53" s="285" t="s">
        <v>23</v>
      </c>
      <c r="M53" s="285" t="s">
        <v>2093</v>
      </c>
      <c r="N53" s="285" t="s">
        <v>28</v>
      </c>
      <c r="O53" s="285" t="s">
        <v>2094</v>
      </c>
      <c r="P53" s="287" t="s">
        <v>2095</v>
      </c>
    </row>
    <row r="54" spans="2:16" ht="34" x14ac:dyDescent="0.2">
      <c r="B54" s="283">
        <v>48</v>
      </c>
      <c r="C54" s="284">
        <v>7</v>
      </c>
      <c r="D54" s="284" t="s">
        <v>1892</v>
      </c>
      <c r="E54" s="284" t="str">
        <f t="shared" si="0"/>
        <v>Newly reported</v>
      </c>
      <c r="F54" s="283">
        <v>1</v>
      </c>
      <c r="G54" s="284" t="s">
        <v>38</v>
      </c>
      <c r="H54" s="285" t="s">
        <v>28</v>
      </c>
      <c r="I54" s="285" t="s">
        <v>28</v>
      </c>
      <c r="J54" s="285" t="s">
        <v>28</v>
      </c>
      <c r="K54" s="286" t="s">
        <v>28</v>
      </c>
      <c r="L54" s="285" t="s">
        <v>764</v>
      </c>
      <c r="M54" s="285" t="s">
        <v>38</v>
      </c>
      <c r="N54" s="285" t="s">
        <v>28</v>
      </c>
      <c r="O54" s="285" t="s">
        <v>2096</v>
      </c>
      <c r="P54" s="287" t="s">
        <v>2097</v>
      </c>
    </row>
    <row r="55" spans="2:16" ht="34" x14ac:dyDescent="0.2">
      <c r="B55" s="283">
        <v>49</v>
      </c>
      <c r="C55" s="284">
        <v>8</v>
      </c>
      <c r="D55" s="284" t="s">
        <v>1825</v>
      </c>
      <c r="E55" s="284" t="str">
        <f t="shared" si="0"/>
        <v>Newly reported</v>
      </c>
      <c r="F55" s="283">
        <v>2</v>
      </c>
      <c r="G55" s="284" t="s">
        <v>38</v>
      </c>
      <c r="H55" s="285" t="s">
        <v>28</v>
      </c>
      <c r="I55" s="285" t="s">
        <v>28</v>
      </c>
      <c r="J55" s="285" t="s">
        <v>250</v>
      </c>
      <c r="K55" s="286" t="s">
        <v>28</v>
      </c>
      <c r="L55" s="285" t="s">
        <v>23</v>
      </c>
      <c r="M55" s="285" t="s">
        <v>38</v>
      </c>
      <c r="N55" s="285" t="s">
        <v>28</v>
      </c>
      <c r="O55" s="285" t="s">
        <v>2098</v>
      </c>
      <c r="P55" s="287" t="s">
        <v>2099</v>
      </c>
    </row>
    <row r="56" spans="2:16" ht="17" x14ac:dyDescent="0.2">
      <c r="B56" s="283">
        <v>50</v>
      </c>
      <c r="C56" s="284">
        <v>8</v>
      </c>
      <c r="D56" s="284" t="s">
        <v>1893</v>
      </c>
      <c r="E56" s="284" t="str">
        <f t="shared" si="0"/>
        <v>Newly reported</v>
      </c>
      <c r="F56" s="283">
        <v>1</v>
      </c>
      <c r="G56" s="284" t="s">
        <v>38</v>
      </c>
      <c r="H56" s="285" t="s">
        <v>28</v>
      </c>
      <c r="I56" s="285" t="s">
        <v>28</v>
      </c>
      <c r="J56" s="285" t="s">
        <v>28</v>
      </c>
      <c r="K56" s="286" t="s">
        <v>28</v>
      </c>
      <c r="L56" s="285" t="s">
        <v>23</v>
      </c>
      <c r="M56" s="285" t="s">
        <v>38</v>
      </c>
      <c r="N56" s="285" t="s">
        <v>28</v>
      </c>
      <c r="O56" s="285" t="s">
        <v>2100</v>
      </c>
      <c r="P56" s="287" t="s">
        <v>2101</v>
      </c>
    </row>
    <row r="57" spans="2:16" ht="17" x14ac:dyDescent="0.2">
      <c r="B57" s="283">
        <v>51</v>
      </c>
      <c r="C57" s="284">
        <v>8</v>
      </c>
      <c r="D57" s="284" t="s">
        <v>1894</v>
      </c>
      <c r="E57" s="284" t="str">
        <f t="shared" si="0"/>
        <v>Newly reported</v>
      </c>
      <c r="F57" s="283">
        <v>1</v>
      </c>
      <c r="G57" s="284" t="s">
        <v>38</v>
      </c>
      <c r="H57" s="285" t="s">
        <v>28</v>
      </c>
      <c r="I57" s="285" t="s">
        <v>28</v>
      </c>
      <c r="J57" s="285" t="s">
        <v>28</v>
      </c>
      <c r="K57" s="286" t="s">
        <v>28</v>
      </c>
      <c r="L57" s="285" t="s">
        <v>23</v>
      </c>
      <c r="M57" s="285" t="s">
        <v>38</v>
      </c>
      <c r="N57" s="285" t="s">
        <v>28</v>
      </c>
      <c r="O57" s="285" t="s">
        <v>2102</v>
      </c>
      <c r="P57" s="287" t="s">
        <v>2103</v>
      </c>
    </row>
    <row r="58" spans="2:16" ht="17" x14ac:dyDescent="0.2">
      <c r="B58" s="283">
        <v>52</v>
      </c>
      <c r="C58" s="284">
        <v>8</v>
      </c>
      <c r="D58" s="284" t="s">
        <v>1895</v>
      </c>
      <c r="E58" s="284" t="str">
        <f t="shared" si="0"/>
        <v>Newly reported</v>
      </c>
      <c r="F58" s="283">
        <v>1</v>
      </c>
      <c r="G58" s="284" t="s">
        <v>38</v>
      </c>
      <c r="H58" s="285" t="s">
        <v>28</v>
      </c>
      <c r="I58" s="285" t="s">
        <v>28</v>
      </c>
      <c r="J58" s="285" t="s">
        <v>28</v>
      </c>
      <c r="K58" s="286" t="s">
        <v>28</v>
      </c>
      <c r="L58" s="285" t="s">
        <v>23</v>
      </c>
      <c r="M58" s="285" t="s">
        <v>38</v>
      </c>
      <c r="N58" s="285" t="s">
        <v>28</v>
      </c>
      <c r="O58" s="285" t="s">
        <v>2104</v>
      </c>
      <c r="P58" s="287" t="s">
        <v>38</v>
      </c>
    </row>
    <row r="59" spans="2:16" ht="34" x14ac:dyDescent="0.2">
      <c r="B59" s="283">
        <v>53</v>
      </c>
      <c r="C59" s="284">
        <v>9</v>
      </c>
      <c r="D59" s="284" t="s">
        <v>1622</v>
      </c>
      <c r="E59" s="284" t="str">
        <f t="shared" si="0"/>
        <v>Known</v>
      </c>
      <c r="F59" s="283">
        <v>2</v>
      </c>
      <c r="G59" s="284" t="s">
        <v>265</v>
      </c>
      <c r="H59" s="285" t="s">
        <v>28</v>
      </c>
      <c r="I59" s="285" t="s">
        <v>2105</v>
      </c>
      <c r="J59" s="285" t="s">
        <v>28</v>
      </c>
      <c r="K59" s="286" t="s">
        <v>1620</v>
      </c>
      <c r="L59" s="285" t="s">
        <v>23</v>
      </c>
      <c r="M59" s="285" t="s">
        <v>1620</v>
      </c>
      <c r="N59" s="285" t="s">
        <v>28</v>
      </c>
      <c r="O59" s="285" t="s">
        <v>2106</v>
      </c>
      <c r="P59" s="287" t="s">
        <v>2107</v>
      </c>
    </row>
    <row r="60" spans="2:16" ht="51" x14ac:dyDescent="0.2">
      <c r="B60" s="283">
        <v>54</v>
      </c>
      <c r="C60" s="284">
        <v>9</v>
      </c>
      <c r="D60" s="284" t="s">
        <v>1896</v>
      </c>
      <c r="E60" s="284" t="str">
        <f t="shared" si="0"/>
        <v>Known</v>
      </c>
      <c r="F60" s="283">
        <v>3</v>
      </c>
      <c r="G60" s="284" t="s">
        <v>270</v>
      </c>
      <c r="H60" s="285" t="s">
        <v>28</v>
      </c>
      <c r="I60" s="285" t="s">
        <v>28</v>
      </c>
      <c r="J60" s="285" t="s">
        <v>28</v>
      </c>
      <c r="K60" s="286" t="s">
        <v>28</v>
      </c>
      <c r="L60" s="285" t="s">
        <v>23</v>
      </c>
      <c r="M60" s="285" t="s">
        <v>2108</v>
      </c>
      <c r="N60" s="285" t="s">
        <v>28</v>
      </c>
      <c r="O60" s="285" t="s">
        <v>2109</v>
      </c>
      <c r="P60" s="287" t="s">
        <v>2110</v>
      </c>
    </row>
    <row r="61" spans="2:16" ht="17" x14ac:dyDescent="0.2">
      <c r="B61" s="283">
        <v>55</v>
      </c>
      <c r="C61" s="284">
        <v>9</v>
      </c>
      <c r="D61" s="284" t="s">
        <v>1897</v>
      </c>
      <c r="E61" s="284" t="str">
        <f t="shared" si="0"/>
        <v>Known</v>
      </c>
      <c r="F61" s="283">
        <v>1</v>
      </c>
      <c r="G61" s="284" t="s">
        <v>278</v>
      </c>
      <c r="H61" s="285" t="s">
        <v>28</v>
      </c>
      <c r="I61" s="285" t="s">
        <v>28</v>
      </c>
      <c r="J61" s="285" t="s">
        <v>28</v>
      </c>
      <c r="K61" s="286" t="s">
        <v>28</v>
      </c>
      <c r="L61" s="285" t="s">
        <v>768</v>
      </c>
      <c r="M61" s="285" t="s">
        <v>768</v>
      </c>
      <c r="N61" s="285" t="s">
        <v>28</v>
      </c>
      <c r="O61" s="285" t="s">
        <v>2111</v>
      </c>
      <c r="P61" s="287" t="s">
        <v>2112</v>
      </c>
    </row>
    <row r="62" spans="2:16" ht="17" x14ac:dyDescent="0.2">
      <c r="B62" s="283">
        <v>56</v>
      </c>
      <c r="C62" s="284">
        <v>10</v>
      </c>
      <c r="D62" s="284" t="s">
        <v>1898</v>
      </c>
      <c r="E62" s="284" t="str">
        <f t="shared" si="0"/>
        <v>Newly reported</v>
      </c>
      <c r="F62" s="283">
        <v>1</v>
      </c>
      <c r="G62" s="284" t="s">
        <v>38</v>
      </c>
      <c r="H62" s="285" t="s">
        <v>28</v>
      </c>
      <c r="I62" s="285" t="s">
        <v>28</v>
      </c>
      <c r="J62" s="285" t="s">
        <v>28</v>
      </c>
      <c r="K62" s="286" t="s">
        <v>28</v>
      </c>
      <c r="L62" s="285" t="s">
        <v>23</v>
      </c>
      <c r="M62" s="285" t="s">
        <v>38</v>
      </c>
      <c r="N62" s="285" t="s">
        <v>28</v>
      </c>
      <c r="O62" s="285" t="s">
        <v>2113</v>
      </c>
      <c r="P62" s="287" t="s">
        <v>2114</v>
      </c>
    </row>
    <row r="63" spans="2:16" ht="17" x14ac:dyDescent="0.2">
      <c r="B63" s="283">
        <v>57</v>
      </c>
      <c r="C63" s="284">
        <v>10</v>
      </c>
      <c r="D63" s="284" t="s">
        <v>1899</v>
      </c>
      <c r="E63" s="284" t="str">
        <f t="shared" si="0"/>
        <v>Newly reported</v>
      </c>
      <c r="F63" s="283">
        <v>1</v>
      </c>
      <c r="G63" s="284" t="s">
        <v>38</v>
      </c>
      <c r="H63" s="285" t="s">
        <v>28</v>
      </c>
      <c r="I63" s="285" t="s">
        <v>28</v>
      </c>
      <c r="J63" s="285" t="s">
        <v>28</v>
      </c>
      <c r="K63" s="286" t="s">
        <v>28</v>
      </c>
      <c r="L63" s="285" t="s">
        <v>23</v>
      </c>
      <c r="M63" s="285" t="s">
        <v>38</v>
      </c>
      <c r="N63" s="285" t="s">
        <v>28</v>
      </c>
      <c r="O63" s="285" t="s">
        <v>2115</v>
      </c>
      <c r="P63" s="287" t="s">
        <v>2116</v>
      </c>
    </row>
    <row r="64" spans="2:16" ht="17" x14ac:dyDescent="0.2">
      <c r="B64" s="283">
        <v>58</v>
      </c>
      <c r="C64" s="284">
        <v>10</v>
      </c>
      <c r="D64" s="284" t="s">
        <v>1900</v>
      </c>
      <c r="E64" s="284" t="str">
        <f t="shared" si="0"/>
        <v>Known</v>
      </c>
      <c r="F64" s="283">
        <v>1</v>
      </c>
      <c r="G64" s="284" t="s">
        <v>287</v>
      </c>
      <c r="H64" s="285" t="s">
        <v>28</v>
      </c>
      <c r="I64" s="285" t="s">
        <v>28</v>
      </c>
      <c r="J64" s="285" t="s">
        <v>28</v>
      </c>
      <c r="K64" s="286" t="s">
        <v>28</v>
      </c>
      <c r="L64" s="285" t="s">
        <v>23</v>
      </c>
      <c r="M64" s="285" t="s">
        <v>2117</v>
      </c>
      <c r="N64" s="285" t="s">
        <v>28</v>
      </c>
      <c r="O64" s="285" t="s">
        <v>2118</v>
      </c>
      <c r="P64" s="287" t="s">
        <v>2119</v>
      </c>
    </row>
    <row r="65" spans="2:16" ht="17" x14ac:dyDescent="0.2">
      <c r="B65" s="283">
        <v>59</v>
      </c>
      <c r="C65" s="284">
        <v>10</v>
      </c>
      <c r="D65" s="284" t="s">
        <v>1901</v>
      </c>
      <c r="E65" s="284" t="str">
        <f t="shared" si="0"/>
        <v>Known</v>
      </c>
      <c r="F65" s="283">
        <v>1</v>
      </c>
      <c r="G65" s="284" t="s">
        <v>291</v>
      </c>
      <c r="H65" s="285" t="s">
        <v>28</v>
      </c>
      <c r="I65" s="285" t="s">
        <v>28</v>
      </c>
      <c r="J65" s="285" t="s">
        <v>28</v>
      </c>
      <c r="K65" s="286" t="s">
        <v>28</v>
      </c>
      <c r="L65" s="285" t="s">
        <v>769</v>
      </c>
      <c r="M65" s="285" t="s">
        <v>2120</v>
      </c>
      <c r="N65" s="285" t="s">
        <v>28</v>
      </c>
      <c r="O65" s="285" t="s">
        <v>2121</v>
      </c>
      <c r="P65" s="287" t="s">
        <v>2122</v>
      </c>
    </row>
    <row r="66" spans="2:16" ht="17" x14ac:dyDescent="0.2">
      <c r="B66" s="283">
        <v>60</v>
      </c>
      <c r="C66" s="284">
        <v>10</v>
      </c>
      <c r="D66" s="284" t="s">
        <v>1902</v>
      </c>
      <c r="E66" s="284" t="str">
        <f t="shared" si="0"/>
        <v>Known</v>
      </c>
      <c r="F66" s="283">
        <v>1</v>
      </c>
      <c r="G66" s="284" t="s">
        <v>295</v>
      </c>
      <c r="H66" s="285" t="s">
        <v>28</v>
      </c>
      <c r="I66" s="285" t="s">
        <v>28</v>
      </c>
      <c r="J66" s="285" t="s">
        <v>28</v>
      </c>
      <c r="K66" s="286" t="s">
        <v>28</v>
      </c>
      <c r="L66" s="285" t="s">
        <v>23</v>
      </c>
      <c r="M66" s="285" t="s">
        <v>2123</v>
      </c>
      <c r="N66" s="285" t="s">
        <v>28</v>
      </c>
      <c r="O66" s="285" t="s">
        <v>2124</v>
      </c>
      <c r="P66" s="287" t="s">
        <v>2125</v>
      </c>
    </row>
    <row r="67" spans="2:16" ht="17" x14ac:dyDescent="0.2">
      <c r="B67" s="283">
        <v>61</v>
      </c>
      <c r="C67" s="284">
        <v>10</v>
      </c>
      <c r="D67" s="284" t="s">
        <v>1903</v>
      </c>
      <c r="E67" s="284" t="str">
        <f t="shared" si="0"/>
        <v>Known</v>
      </c>
      <c r="F67" s="283">
        <v>1</v>
      </c>
      <c r="G67" s="284" t="s">
        <v>299</v>
      </c>
      <c r="H67" s="285" t="s">
        <v>28</v>
      </c>
      <c r="I67" s="285" t="s">
        <v>28</v>
      </c>
      <c r="J67" s="285" t="s">
        <v>28</v>
      </c>
      <c r="K67" s="286" t="s">
        <v>28</v>
      </c>
      <c r="L67" s="285" t="s">
        <v>23</v>
      </c>
      <c r="M67" s="285" t="s">
        <v>2126</v>
      </c>
      <c r="N67" s="285" t="s">
        <v>28</v>
      </c>
      <c r="O67" s="285" t="s">
        <v>2127</v>
      </c>
      <c r="P67" s="287" t="s">
        <v>2128</v>
      </c>
    </row>
    <row r="68" spans="2:16" ht="17" x14ac:dyDescent="0.2">
      <c r="B68" s="283">
        <v>62</v>
      </c>
      <c r="C68" s="284">
        <v>10</v>
      </c>
      <c r="D68" s="284" t="s">
        <v>1904</v>
      </c>
      <c r="E68" s="284" t="str">
        <f t="shared" si="0"/>
        <v>Newly reported</v>
      </c>
      <c r="F68" s="283">
        <v>1</v>
      </c>
      <c r="G68" s="284" t="s">
        <v>38</v>
      </c>
      <c r="H68" s="285" t="s">
        <v>28</v>
      </c>
      <c r="I68" s="285" t="s">
        <v>28</v>
      </c>
      <c r="J68" s="285" t="s">
        <v>28</v>
      </c>
      <c r="K68" s="286" t="s">
        <v>28</v>
      </c>
      <c r="L68" s="285" t="s">
        <v>23</v>
      </c>
      <c r="M68" s="285" t="s">
        <v>38</v>
      </c>
      <c r="N68" s="285" t="s">
        <v>28</v>
      </c>
      <c r="O68" s="285" t="s">
        <v>2129</v>
      </c>
      <c r="P68" s="287" t="s">
        <v>2130</v>
      </c>
    </row>
    <row r="69" spans="2:16" ht="17" x14ac:dyDescent="0.2">
      <c r="B69" s="283">
        <v>63</v>
      </c>
      <c r="C69" s="284">
        <v>10</v>
      </c>
      <c r="D69" s="284" t="s">
        <v>1905</v>
      </c>
      <c r="E69" s="284" t="str">
        <f t="shared" si="0"/>
        <v>Known</v>
      </c>
      <c r="F69" s="283">
        <v>1</v>
      </c>
      <c r="G69" s="284" t="s">
        <v>307</v>
      </c>
      <c r="H69" s="285" t="s">
        <v>28</v>
      </c>
      <c r="I69" s="285" t="s">
        <v>28</v>
      </c>
      <c r="J69" s="285" t="s">
        <v>28</v>
      </c>
      <c r="K69" s="286" t="s">
        <v>28</v>
      </c>
      <c r="L69" s="285" t="s">
        <v>846</v>
      </c>
      <c r="M69" s="285" t="s">
        <v>2131</v>
      </c>
      <c r="N69" s="285" t="s">
        <v>28</v>
      </c>
      <c r="O69" s="285" t="s">
        <v>2132</v>
      </c>
      <c r="P69" s="287" t="s">
        <v>2133</v>
      </c>
    </row>
    <row r="70" spans="2:16" ht="17" x14ac:dyDescent="0.2">
      <c r="B70" s="283">
        <v>64</v>
      </c>
      <c r="C70" s="284">
        <v>11</v>
      </c>
      <c r="D70" s="284" t="s">
        <v>1906</v>
      </c>
      <c r="E70" s="284" t="str">
        <f t="shared" si="0"/>
        <v>Newly reported</v>
      </c>
      <c r="F70" s="283">
        <v>1</v>
      </c>
      <c r="G70" s="284" t="s">
        <v>38</v>
      </c>
      <c r="H70" s="285" t="s">
        <v>28</v>
      </c>
      <c r="I70" s="285" t="s">
        <v>28</v>
      </c>
      <c r="J70" s="285" t="s">
        <v>28</v>
      </c>
      <c r="K70" s="286" t="s">
        <v>28</v>
      </c>
      <c r="L70" s="285" t="s">
        <v>23</v>
      </c>
      <c r="M70" s="285" t="s">
        <v>38</v>
      </c>
      <c r="N70" s="285" t="s">
        <v>28</v>
      </c>
      <c r="O70" s="285" t="s">
        <v>2134</v>
      </c>
      <c r="P70" s="287" t="s">
        <v>2135</v>
      </c>
    </row>
    <row r="71" spans="2:16" ht="17" x14ac:dyDescent="0.2">
      <c r="B71" s="283">
        <v>65</v>
      </c>
      <c r="C71" s="284">
        <v>11</v>
      </c>
      <c r="D71" s="284" t="s">
        <v>1907</v>
      </c>
      <c r="E71" s="284" t="str">
        <f t="shared" si="0"/>
        <v>Newly reported</v>
      </c>
      <c r="F71" s="283">
        <v>1</v>
      </c>
      <c r="G71" s="284" t="s">
        <v>38</v>
      </c>
      <c r="H71" s="285" t="s">
        <v>28</v>
      </c>
      <c r="I71" s="285" t="s">
        <v>28</v>
      </c>
      <c r="J71" s="285" t="s">
        <v>28</v>
      </c>
      <c r="K71" s="286" t="s">
        <v>28</v>
      </c>
      <c r="L71" s="285" t="s">
        <v>23</v>
      </c>
      <c r="M71" s="285" t="s">
        <v>38</v>
      </c>
      <c r="N71" s="285" t="s">
        <v>28</v>
      </c>
      <c r="O71" s="285" t="s">
        <v>2134</v>
      </c>
      <c r="P71" s="287" t="s">
        <v>2136</v>
      </c>
    </row>
    <row r="72" spans="2:16" ht="85" x14ac:dyDescent="0.2">
      <c r="B72" s="283">
        <v>66</v>
      </c>
      <c r="C72" s="284">
        <v>11</v>
      </c>
      <c r="D72" s="284" t="s">
        <v>1908</v>
      </c>
      <c r="E72" s="284" t="str">
        <f t="shared" ref="E72:E115" si="1">IF(G72="None","Newly reported","Known")</f>
        <v>Known</v>
      </c>
      <c r="F72" s="283">
        <v>2</v>
      </c>
      <c r="G72" s="285" t="s">
        <v>2137</v>
      </c>
      <c r="H72" s="285" t="s">
        <v>28</v>
      </c>
      <c r="I72" s="285" t="s">
        <v>28</v>
      </c>
      <c r="J72" s="285" t="s">
        <v>28</v>
      </c>
      <c r="K72" s="286" t="s">
        <v>28</v>
      </c>
      <c r="L72" s="285" t="s">
        <v>2406</v>
      </c>
      <c r="M72" s="285" t="s">
        <v>2138</v>
      </c>
      <c r="N72" s="285" t="s">
        <v>28</v>
      </c>
      <c r="O72" s="285" t="s">
        <v>2139</v>
      </c>
      <c r="P72" s="287" t="s">
        <v>2140</v>
      </c>
    </row>
    <row r="73" spans="2:16" ht="17" x14ac:dyDescent="0.2">
      <c r="B73" s="283">
        <v>67</v>
      </c>
      <c r="C73" s="284">
        <v>11</v>
      </c>
      <c r="D73" s="284" t="s">
        <v>1909</v>
      </c>
      <c r="E73" s="284" t="str">
        <f t="shared" si="1"/>
        <v>Newly reported</v>
      </c>
      <c r="F73" s="283">
        <v>1</v>
      </c>
      <c r="G73" s="284" t="s">
        <v>38</v>
      </c>
      <c r="H73" s="285" t="s">
        <v>28</v>
      </c>
      <c r="I73" s="285" t="s">
        <v>28</v>
      </c>
      <c r="J73" s="285" t="s">
        <v>28</v>
      </c>
      <c r="K73" s="286" t="s">
        <v>28</v>
      </c>
      <c r="L73" s="285" t="s">
        <v>23</v>
      </c>
      <c r="M73" s="285" t="s">
        <v>38</v>
      </c>
      <c r="N73" s="285" t="s">
        <v>28</v>
      </c>
      <c r="O73" s="285" t="s">
        <v>2141</v>
      </c>
      <c r="P73" s="287" t="s">
        <v>2142</v>
      </c>
    </row>
    <row r="74" spans="2:16" ht="17" x14ac:dyDescent="0.2">
      <c r="B74" s="283">
        <v>68</v>
      </c>
      <c r="C74" s="284">
        <v>11</v>
      </c>
      <c r="D74" s="284" t="s">
        <v>1910</v>
      </c>
      <c r="E74" s="284" t="str">
        <f t="shared" si="1"/>
        <v>Known</v>
      </c>
      <c r="F74" s="283">
        <v>1</v>
      </c>
      <c r="G74" s="284" t="s">
        <v>329</v>
      </c>
      <c r="H74" s="285" t="s">
        <v>28</v>
      </c>
      <c r="I74" s="285" t="s">
        <v>28</v>
      </c>
      <c r="J74" s="285" t="s">
        <v>28</v>
      </c>
      <c r="K74" s="286" t="s">
        <v>28</v>
      </c>
      <c r="L74" s="285" t="s">
        <v>23</v>
      </c>
      <c r="M74" s="285" t="s">
        <v>777</v>
      </c>
      <c r="N74" s="285" t="s">
        <v>28</v>
      </c>
      <c r="O74" s="285" t="s">
        <v>2143</v>
      </c>
      <c r="P74" s="287" t="s">
        <v>2144</v>
      </c>
    </row>
    <row r="75" spans="2:16" ht="17" x14ac:dyDescent="0.2">
      <c r="B75" s="283">
        <v>69</v>
      </c>
      <c r="C75" s="284">
        <v>11</v>
      </c>
      <c r="D75" s="284" t="s">
        <v>1625</v>
      </c>
      <c r="E75" s="284" t="str">
        <f t="shared" si="1"/>
        <v>Newly reported</v>
      </c>
      <c r="F75" s="283">
        <v>1</v>
      </c>
      <c r="G75" s="284" t="s">
        <v>38</v>
      </c>
      <c r="H75" s="285" t="s">
        <v>28</v>
      </c>
      <c r="I75" s="285" t="s">
        <v>2145</v>
      </c>
      <c r="J75" s="285" t="s">
        <v>28</v>
      </c>
      <c r="K75" s="286" t="s">
        <v>778</v>
      </c>
      <c r="L75" s="285" t="s">
        <v>778</v>
      </c>
      <c r="M75" s="285" t="s">
        <v>38</v>
      </c>
      <c r="N75" s="285" t="s">
        <v>28</v>
      </c>
      <c r="O75" s="285" t="s">
        <v>2146</v>
      </c>
      <c r="P75" s="287" t="s">
        <v>2147</v>
      </c>
    </row>
    <row r="76" spans="2:16" ht="51" x14ac:dyDescent="0.2">
      <c r="B76" s="283">
        <v>70</v>
      </c>
      <c r="C76" s="284">
        <v>11</v>
      </c>
      <c r="D76" s="284" t="s">
        <v>1911</v>
      </c>
      <c r="E76" s="284" t="str">
        <f t="shared" si="1"/>
        <v>Known</v>
      </c>
      <c r="F76" s="283">
        <v>3</v>
      </c>
      <c r="G76" s="284" t="s">
        <v>337</v>
      </c>
      <c r="H76" s="285" t="s">
        <v>28</v>
      </c>
      <c r="I76" s="285" t="s">
        <v>28</v>
      </c>
      <c r="J76" s="285" t="s">
        <v>28</v>
      </c>
      <c r="K76" s="286" t="s">
        <v>28</v>
      </c>
      <c r="L76" s="285" t="s">
        <v>23</v>
      </c>
      <c r="M76" s="285" t="s">
        <v>2148</v>
      </c>
      <c r="N76" s="285" t="s">
        <v>28</v>
      </c>
      <c r="O76" s="285" t="s">
        <v>2149</v>
      </c>
      <c r="P76" s="287" t="s">
        <v>2150</v>
      </c>
    </row>
    <row r="77" spans="2:16" ht="17" x14ac:dyDescent="0.2">
      <c r="B77" s="283">
        <v>71</v>
      </c>
      <c r="C77" s="284">
        <v>12</v>
      </c>
      <c r="D77" s="284" t="s">
        <v>1912</v>
      </c>
      <c r="E77" s="284" t="str">
        <f t="shared" si="1"/>
        <v>Newly reported</v>
      </c>
      <c r="F77" s="283">
        <v>1</v>
      </c>
      <c r="G77" s="284" t="s">
        <v>38</v>
      </c>
      <c r="H77" s="285" t="s">
        <v>28</v>
      </c>
      <c r="I77" s="285" t="s">
        <v>28</v>
      </c>
      <c r="J77" s="285" t="s">
        <v>28</v>
      </c>
      <c r="K77" s="286" t="s">
        <v>28</v>
      </c>
      <c r="L77" s="285" t="s">
        <v>23</v>
      </c>
      <c r="M77" s="285" t="s">
        <v>38</v>
      </c>
      <c r="N77" s="285" t="s">
        <v>28</v>
      </c>
      <c r="O77" s="285" t="s">
        <v>2151</v>
      </c>
      <c r="P77" s="287" t="s">
        <v>2152</v>
      </c>
    </row>
    <row r="78" spans="2:16" ht="34" x14ac:dyDescent="0.2">
      <c r="B78" s="283">
        <v>72</v>
      </c>
      <c r="C78" s="284">
        <v>12</v>
      </c>
      <c r="D78" s="284" t="s">
        <v>1828</v>
      </c>
      <c r="E78" s="284" t="str">
        <f t="shared" si="1"/>
        <v>Newly reported</v>
      </c>
      <c r="F78" s="283">
        <v>1</v>
      </c>
      <c r="G78" s="284" t="s">
        <v>38</v>
      </c>
      <c r="H78" s="285" t="s">
        <v>28</v>
      </c>
      <c r="I78" s="285" t="s">
        <v>28</v>
      </c>
      <c r="J78" s="285" t="s">
        <v>348</v>
      </c>
      <c r="K78" s="286" t="s">
        <v>28</v>
      </c>
      <c r="L78" s="285" t="s">
        <v>23</v>
      </c>
      <c r="M78" s="285" t="s">
        <v>38</v>
      </c>
      <c r="N78" s="285" t="s">
        <v>28</v>
      </c>
      <c r="O78" s="285" t="s">
        <v>2153</v>
      </c>
      <c r="P78" s="287" t="s">
        <v>2154</v>
      </c>
    </row>
    <row r="79" spans="2:16" ht="34" x14ac:dyDescent="0.2">
      <c r="B79" s="283">
        <v>73</v>
      </c>
      <c r="C79" s="284">
        <v>12</v>
      </c>
      <c r="D79" s="284" t="s">
        <v>1630</v>
      </c>
      <c r="E79" s="284" t="str">
        <f t="shared" si="1"/>
        <v>Known</v>
      </c>
      <c r="F79" s="283">
        <v>1</v>
      </c>
      <c r="G79" s="284" t="s">
        <v>354</v>
      </c>
      <c r="H79" s="285" t="s">
        <v>28</v>
      </c>
      <c r="I79" s="285" t="s">
        <v>2155</v>
      </c>
      <c r="J79" s="285" t="s">
        <v>28</v>
      </c>
      <c r="K79" s="286" t="s">
        <v>1628</v>
      </c>
      <c r="L79" s="285" t="s">
        <v>848</v>
      </c>
      <c r="M79" s="285" t="s">
        <v>2156</v>
      </c>
      <c r="N79" s="285" t="s">
        <v>28</v>
      </c>
      <c r="O79" s="285" t="s">
        <v>2157</v>
      </c>
      <c r="P79" s="287" t="s">
        <v>2158</v>
      </c>
    </row>
    <row r="80" spans="2:16" ht="153" x14ac:dyDescent="0.2">
      <c r="B80" s="283">
        <v>74</v>
      </c>
      <c r="C80" s="284">
        <v>12</v>
      </c>
      <c r="D80" s="284" t="s">
        <v>1637</v>
      </c>
      <c r="E80" s="284" t="str">
        <f t="shared" si="1"/>
        <v>Known</v>
      </c>
      <c r="F80" s="283">
        <v>3</v>
      </c>
      <c r="G80" s="284" t="s">
        <v>359</v>
      </c>
      <c r="H80" s="285" t="s">
        <v>28</v>
      </c>
      <c r="I80" s="285" t="s">
        <v>2159</v>
      </c>
      <c r="J80" s="285" t="s">
        <v>28</v>
      </c>
      <c r="K80" s="286" t="s">
        <v>2160</v>
      </c>
      <c r="L80" s="285" t="s">
        <v>2399</v>
      </c>
      <c r="M80" s="285" t="s">
        <v>2328</v>
      </c>
      <c r="N80" s="285" t="s">
        <v>2350</v>
      </c>
      <c r="O80" s="285" t="s">
        <v>2161</v>
      </c>
      <c r="P80" s="287" t="s">
        <v>2162</v>
      </c>
    </row>
    <row r="81" spans="2:16" ht="17" x14ac:dyDescent="0.2">
      <c r="B81" s="283">
        <v>75</v>
      </c>
      <c r="C81" s="284">
        <v>12</v>
      </c>
      <c r="D81" s="284" t="s">
        <v>1831</v>
      </c>
      <c r="E81" s="284" t="str">
        <f t="shared" si="1"/>
        <v>Newly reported</v>
      </c>
      <c r="F81" s="283">
        <v>1</v>
      </c>
      <c r="G81" s="284" t="s">
        <v>38</v>
      </c>
      <c r="H81" s="285" t="s">
        <v>28</v>
      </c>
      <c r="I81" s="285" t="s">
        <v>28</v>
      </c>
      <c r="J81" s="285" t="s">
        <v>366</v>
      </c>
      <c r="K81" s="286" t="s">
        <v>28</v>
      </c>
      <c r="L81" s="285" t="s">
        <v>23</v>
      </c>
      <c r="M81" s="285" t="s">
        <v>38</v>
      </c>
      <c r="N81" s="285" t="s">
        <v>28</v>
      </c>
      <c r="O81" s="285" t="s">
        <v>2163</v>
      </c>
      <c r="P81" s="287" t="s">
        <v>2164</v>
      </c>
    </row>
    <row r="82" spans="2:16" ht="17" x14ac:dyDescent="0.2">
      <c r="B82" s="283">
        <v>76</v>
      </c>
      <c r="C82" s="284">
        <v>12</v>
      </c>
      <c r="D82" s="284" t="s">
        <v>1643</v>
      </c>
      <c r="E82" s="284" t="str">
        <f t="shared" si="1"/>
        <v>Known</v>
      </c>
      <c r="F82" s="283">
        <v>1</v>
      </c>
      <c r="G82" s="284" t="s">
        <v>370</v>
      </c>
      <c r="H82" s="285" t="s">
        <v>28</v>
      </c>
      <c r="I82" s="285" t="s">
        <v>2165</v>
      </c>
      <c r="J82" s="285" t="s">
        <v>28</v>
      </c>
      <c r="K82" s="286" t="s">
        <v>1641</v>
      </c>
      <c r="L82" s="285" t="s">
        <v>23</v>
      </c>
      <c r="M82" s="285" t="s">
        <v>2166</v>
      </c>
      <c r="N82" s="285" t="s">
        <v>28</v>
      </c>
      <c r="O82" s="285" t="s">
        <v>2167</v>
      </c>
      <c r="P82" s="287" t="s">
        <v>2168</v>
      </c>
    </row>
    <row r="83" spans="2:16" ht="17" x14ac:dyDescent="0.2">
      <c r="B83" s="283">
        <v>77</v>
      </c>
      <c r="C83" s="284">
        <v>12</v>
      </c>
      <c r="D83" s="284" t="s">
        <v>1913</v>
      </c>
      <c r="E83" s="284" t="str">
        <f t="shared" si="1"/>
        <v>Known</v>
      </c>
      <c r="F83" s="283">
        <v>1</v>
      </c>
      <c r="G83" s="284" t="s">
        <v>374</v>
      </c>
      <c r="H83" s="285" t="s">
        <v>28</v>
      </c>
      <c r="I83" s="285" t="s">
        <v>28</v>
      </c>
      <c r="J83" s="285" t="s">
        <v>28</v>
      </c>
      <c r="K83" s="286" t="s">
        <v>28</v>
      </c>
      <c r="L83" s="285" t="s">
        <v>23</v>
      </c>
      <c r="M83" s="285" t="s">
        <v>2169</v>
      </c>
      <c r="N83" s="285" t="s">
        <v>28</v>
      </c>
      <c r="O83" s="285" t="s">
        <v>2170</v>
      </c>
      <c r="P83" s="287" t="s">
        <v>2171</v>
      </c>
    </row>
    <row r="84" spans="2:16" ht="17" x14ac:dyDescent="0.2">
      <c r="B84" s="283">
        <v>78</v>
      </c>
      <c r="C84" s="284">
        <v>13</v>
      </c>
      <c r="D84" s="284" t="s">
        <v>1914</v>
      </c>
      <c r="E84" s="284" t="str">
        <f t="shared" si="1"/>
        <v>Known</v>
      </c>
      <c r="F84" s="283">
        <v>1</v>
      </c>
      <c r="G84" s="284" t="s">
        <v>377</v>
      </c>
      <c r="H84" s="285" t="s">
        <v>28</v>
      </c>
      <c r="I84" s="285" t="s">
        <v>28</v>
      </c>
      <c r="J84" s="285" t="s">
        <v>28</v>
      </c>
      <c r="K84" s="286" t="s">
        <v>28</v>
      </c>
      <c r="L84" s="285" t="s">
        <v>23</v>
      </c>
      <c r="M84" s="285" t="s">
        <v>786</v>
      </c>
      <c r="N84" s="285" t="s">
        <v>28</v>
      </c>
      <c r="O84" s="285" t="s">
        <v>2172</v>
      </c>
      <c r="P84" s="287" t="s">
        <v>2173</v>
      </c>
    </row>
    <row r="85" spans="2:16" ht="17" x14ac:dyDescent="0.2">
      <c r="B85" s="283">
        <v>79</v>
      </c>
      <c r="C85" s="284">
        <v>13</v>
      </c>
      <c r="D85" s="284" t="s">
        <v>1915</v>
      </c>
      <c r="E85" s="284" t="str">
        <f t="shared" si="1"/>
        <v>Known</v>
      </c>
      <c r="F85" s="283">
        <v>1</v>
      </c>
      <c r="G85" s="284" t="s">
        <v>381</v>
      </c>
      <c r="H85" s="285" t="s">
        <v>28</v>
      </c>
      <c r="I85" s="285" t="s">
        <v>28</v>
      </c>
      <c r="J85" s="285" t="s">
        <v>28</v>
      </c>
      <c r="K85" s="286" t="s">
        <v>28</v>
      </c>
      <c r="L85" s="285" t="s">
        <v>23</v>
      </c>
      <c r="M85" s="285" t="s">
        <v>38</v>
      </c>
      <c r="N85" s="285" t="s">
        <v>28</v>
      </c>
      <c r="O85" s="285" t="s">
        <v>2174</v>
      </c>
      <c r="P85" s="287" t="s">
        <v>2175</v>
      </c>
    </row>
    <row r="86" spans="2:16" ht="17" x14ac:dyDescent="0.2">
      <c r="B86" s="283">
        <v>80</v>
      </c>
      <c r="C86" s="284">
        <v>13</v>
      </c>
      <c r="D86" s="284" t="s">
        <v>1916</v>
      </c>
      <c r="E86" s="284" t="str">
        <f t="shared" si="1"/>
        <v>Known</v>
      </c>
      <c r="F86" s="283">
        <v>1</v>
      </c>
      <c r="G86" s="284" t="s">
        <v>385</v>
      </c>
      <c r="H86" s="285" t="s">
        <v>28</v>
      </c>
      <c r="I86" s="285" t="s">
        <v>28</v>
      </c>
      <c r="J86" s="285" t="s">
        <v>28</v>
      </c>
      <c r="K86" s="286" t="s">
        <v>28</v>
      </c>
      <c r="L86" s="285" t="s">
        <v>23</v>
      </c>
      <c r="M86" s="285" t="s">
        <v>2176</v>
      </c>
      <c r="N86" s="285" t="s">
        <v>28</v>
      </c>
      <c r="O86" s="285" t="s">
        <v>2177</v>
      </c>
      <c r="P86" s="287" t="s">
        <v>2178</v>
      </c>
    </row>
    <row r="87" spans="2:16" ht="34" x14ac:dyDescent="0.2">
      <c r="B87" s="283">
        <v>81</v>
      </c>
      <c r="C87" s="284">
        <v>14</v>
      </c>
      <c r="D87" s="284" t="s">
        <v>1917</v>
      </c>
      <c r="E87" s="284" t="str">
        <f t="shared" si="1"/>
        <v>Known</v>
      </c>
      <c r="F87" s="283">
        <v>2</v>
      </c>
      <c r="G87" s="284" t="s">
        <v>388</v>
      </c>
      <c r="H87" s="285" t="s">
        <v>28</v>
      </c>
      <c r="I87" s="285" t="s">
        <v>28</v>
      </c>
      <c r="J87" s="285" t="s">
        <v>28</v>
      </c>
      <c r="K87" s="286" t="s">
        <v>28</v>
      </c>
      <c r="L87" s="285" t="s">
        <v>23</v>
      </c>
      <c r="M87" s="285" t="s">
        <v>2179</v>
      </c>
      <c r="N87" s="285" t="s">
        <v>28</v>
      </c>
      <c r="O87" s="285" t="s">
        <v>2180</v>
      </c>
      <c r="P87" s="287" t="s">
        <v>2181</v>
      </c>
    </row>
    <row r="88" spans="2:16" ht="17" x14ac:dyDescent="0.2">
      <c r="B88" s="283">
        <v>82</v>
      </c>
      <c r="C88" s="284">
        <v>14</v>
      </c>
      <c r="D88" s="284" t="s">
        <v>1918</v>
      </c>
      <c r="E88" s="284" t="str">
        <f t="shared" si="1"/>
        <v>Known</v>
      </c>
      <c r="F88" s="283">
        <v>1</v>
      </c>
      <c r="G88" s="284" t="s">
        <v>396</v>
      </c>
      <c r="H88" s="285" t="s">
        <v>28</v>
      </c>
      <c r="I88" s="285" t="s">
        <v>28</v>
      </c>
      <c r="J88" s="285" t="s">
        <v>28</v>
      </c>
      <c r="K88" s="286" t="s">
        <v>28</v>
      </c>
      <c r="L88" s="285" t="s">
        <v>23</v>
      </c>
      <c r="M88" s="285" t="s">
        <v>2182</v>
      </c>
      <c r="N88" s="285" t="s">
        <v>28</v>
      </c>
      <c r="O88" s="285" t="s">
        <v>2183</v>
      </c>
      <c r="P88" s="287" t="s">
        <v>38</v>
      </c>
    </row>
    <row r="89" spans="2:16" ht="17" x14ac:dyDescent="0.2">
      <c r="B89" s="283">
        <v>83</v>
      </c>
      <c r="C89" s="284">
        <v>14</v>
      </c>
      <c r="D89" s="284" t="s">
        <v>1919</v>
      </c>
      <c r="E89" s="284" t="str">
        <f t="shared" si="1"/>
        <v>Newly reported</v>
      </c>
      <c r="F89" s="283">
        <v>1</v>
      </c>
      <c r="G89" s="284" t="s">
        <v>38</v>
      </c>
      <c r="H89" s="285" t="s">
        <v>28</v>
      </c>
      <c r="I89" s="285" t="s">
        <v>28</v>
      </c>
      <c r="J89" s="285" t="s">
        <v>28</v>
      </c>
      <c r="K89" s="286" t="s">
        <v>28</v>
      </c>
      <c r="L89" s="285" t="s">
        <v>23</v>
      </c>
      <c r="M89" s="285" t="s">
        <v>38</v>
      </c>
      <c r="N89" s="285" t="s">
        <v>28</v>
      </c>
      <c r="O89" s="285" t="s">
        <v>2184</v>
      </c>
      <c r="P89" s="287" t="s">
        <v>2185</v>
      </c>
    </row>
    <row r="90" spans="2:16" ht="17" x14ac:dyDescent="0.2">
      <c r="B90" s="283">
        <v>84</v>
      </c>
      <c r="C90" s="284">
        <v>15</v>
      </c>
      <c r="D90" s="284" t="s">
        <v>1920</v>
      </c>
      <c r="E90" s="284" t="str">
        <f t="shared" si="1"/>
        <v>Known</v>
      </c>
      <c r="F90" s="283">
        <v>1</v>
      </c>
      <c r="G90" s="284" t="s">
        <v>403</v>
      </c>
      <c r="H90" s="285" t="s">
        <v>28</v>
      </c>
      <c r="I90" s="285" t="s">
        <v>28</v>
      </c>
      <c r="J90" s="285" t="s">
        <v>28</v>
      </c>
      <c r="K90" s="286" t="s">
        <v>28</v>
      </c>
      <c r="L90" s="285" t="s">
        <v>23</v>
      </c>
      <c r="M90" s="285" t="s">
        <v>2186</v>
      </c>
      <c r="N90" s="285" t="s">
        <v>28</v>
      </c>
      <c r="O90" s="285" t="s">
        <v>2187</v>
      </c>
      <c r="P90" s="287" t="s">
        <v>2188</v>
      </c>
    </row>
    <row r="91" spans="2:16" ht="17" x14ac:dyDescent="0.2">
      <c r="B91" s="283">
        <v>85</v>
      </c>
      <c r="C91" s="284">
        <v>15</v>
      </c>
      <c r="D91" s="284" t="s">
        <v>1921</v>
      </c>
      <c r="E91" s="284" t="str">
        <f t="shared" si="1"/>
        <v>Newly reported</v>
      </c>
      <c r="F91" s="283">
        <v>1</v>
      </c>
      <c r="G91" s="284" t="s">
        <v>38</v>
      </c>
      <c r="H91" s="285" t="s">
        <v>28</v>
      </c>
      <c r="I91" s="285" t="s">
        <v>28</v>
      </c>
      <c r="J91" s="285" t="s">
        <v>28</v>
      </c>
      <c r="K91" s="286" t="s">
        <v>28</v>
      </c>
      <c r="L91" s="285" t="s">
        <v>23</v>
      </c>
      <c r="M91" s="285" t="s">
        <v>38</v>
      </c>
      <c r="N91" s="285" t="s">
        <v>28</v>
      </c>
      <c r="O91" s="285" t="s">
        <v>2189</v>
      </c>
      <c r="P91" s="287" t="s">
        <v>38</v>
      </c>
    </row>
    <row r="92" spans="2:16" ht="34" x14ac:dyDescent="0.2">
      <c r="B92" s="283">
        <v>86</v>
      </c>
      <c r="C92" s="284">
        <v>15</v>
      </c>
      <c r="D92" s="284" t="s">
        <v>1922</v>
      </c>
      <c r="E92" s="284" t="str">
        <f t="shared" si="1"/>
        <v>Newly reported</v>
      </c>
      <c r="F92" s="283">
        <v>1</v>
      </c>
      <c r="G92" s="284" t="s">
        <v>38</v>
      </c>
      <c r="H92" s="285" t="s">
        <v>1762</v>
      </c>
      <c r="I92" s="285" t="s">
        <v>28</v>
      </c>
      <c r="J92" s="285" t="s">
        <v>28</v>
      </c>
      <c r="K92" s="286" t="s">
        <v>28</v>
      </c>
      <c r="L92" s="285" t="s">
        <v>23</v>
      </c>
      <c r="M92" s="285" t="s">
        <v>38</v>
      </c>
      <c r="N92" s="285" t="s">
        <v>28</v>
      </c>
      <c r="O92" s="285" t="s">
        <v>2190</v>
      </c>
      <c r="P92" s="287" t="s">
        <v>2191</v>
      </c>
    </row>
    <row r="93" spans="2:16" ht="34" x14ac:dyDescent="0.2">
      <c r="B93" s="283">
        <v>87</v>
      </c>
      <c r="C93" s="284">
        <v>16</v>
      </c>
      <c r="D93" s="284" t="s">
        <v>1923</v>
      </c>
      <c r="E93" s="284" t="str">
        <f t="shared" si="1"/>
        <v>Known</v>
      </c>
      <c r="F93" s="283">
        <v>2</v>
      </c>
      <c r="G93" s="284" t="s">
        <v>414</v>
      </c>
      <c r="H93" s="285" t="s">
        <v>28</v>
      </c>
      <c r="I93" s="285" t="s">
        <v>28</v>
      </c>
      <c r="J93" s="285" t="s">
        <v>28</v>
      </c>
      <c r="K93" s="286" t="s">
        <v>28</v>
      </c>
      <c r="L93" s="285" t="s">
        <v>23</v>
      </c>
      <c r="M93" s="285" t="s">
        <v>2192</v>
      </c>
      <c r="N93" s="285" t="s">
        <v>28</v>
      </c>
      <c r="O93" s="285" t="s">
        <v>2193</v>
      </c>
      <c r="P93" s="287" t="s">
        <v>2194</v>
      </c>
    </row>
    <row r="94" spans="2:16" ht="85" x14ac:dyDescent="0.2">
      <c r="B94" s="283">
        <v>88</v>
      </c>
      <c r="C94" s="284">
        <v>16</v>
      </c>
      <c r="D94" s="284" t="s">
        <v>1648</v>
      </c>
      <c r="E94" s="284" t="str">
        <f t="shared" si="1"/>
        <v>Known</v>
      </c>
      <c r="F94" s="283">
        <v>2</v>
      </c>
      <c r="G94" s="284" t="s">
        <v>420</v>
      </c>
      <c r="H94" s="285" t="s">
        <v>28</v>
      </c>
      <c r="I94" s="285" t="s">
        <v>2195</v>
      </c>
      <c r="J94" s="285" t="s">
        <v>28</v>
      </c>
      <c r="K94" s="286" t="s">
        <v>2196</v>
      </c>
      <c r="L94" s="285" t="s">
        <v>2400</v>
      </c>
      <c r="M94" s="285" t="s">
        <v>2197</v>
      </c>
      <c r="N94" s="285" t="s">
        <v>28</v>
      </c>
      <c r="O94" s="285" t="s">
        <v>2198</v>
      </c>
      <c r="P94" s="287" t="s">
        <v>2199</v>
      </c>
    </row>
    <row r="95" spans="2:16" ht="51" x14ac:dyDescent="0.2">
      <c r="B95" s="283">
        <v>89</v>
      </c>
      <c r="C95" s="284">
        <v>17</v>
      </c>
      <c r="D95" s="284" t="s">
        <v>1660</v>
      </c>
      <c r="E95" s="284" t="str">
        <f t="shared" si="1"/>
        <v>Newly reported</v>
      </c>
      <c r="F95" s="283">
        <v>1</v>
      </c>
      <c r="G95" s="284" t="s">
        <v>38</v>
      </c>
      <c r="H95" s="285" t="s">
        <v>28</v>
      </c>
      <c r="I95" s="285" t="s">
        <v>2200</v>
      </c>
      <c r="J95" s="285" t="s">
        <v>28</v>
      </c>
      <c r="K95" s="286" t="s">
        <v>1658</v>
      </c>
      <c r="L95" s="285" t="s">
        <v>853</v>
      </c>
      <c r="M95" s="285" t="s">
        <v>38</v>
      </c>
      <c r="N95" s="285" t="s">
        <v>28</v>
      </c>
      <c r="O95" s="285" t="s">
        <v>2201</v>
      </c>
      <c r="P95" s="287" t="s">
        <v>2202</v>
      </c>
    </row>
    <row r="96" spans="2:16" ht="51" x14ac:dyDescent="0.2">
      <c r="B96" s="283">
        <v>90</v>
      </c>
      <c r="C96" s="284">
        <v>17</v>
      </c>
      <c r="D96" s="284" t="s">
        <v>1834</v>
      </c>
      <c r="E96" s="284" t="str">
        <f t="shared" si="1"/>
        <v>Known</v>
      </c>
      <c r="F96" s="283">
        <v>3</v>
      </c>
      <c r="G96" s="284" t="s">
        <v>432</v>
      </c>
      <c r="H96" s="285" t="s">
        <v>28</v>
      </c>
      <c r="I96" s="285" t="s">
        <v>28</v>
      </c>
      <c r="J96" s="285" t="s">
        <v>431</v>
      </c>
      <c r="K96" s="286" t="s">
        <v>28</v>
      </c>
      <c r="L96" s="285" t="s">
        <v>798</v>
      </c>
      <c r="M96" s="285" t="s">
        <v>2203</v>
      </c>
      <c r="N96" s="285" t="s">
        <v>28</v>
      </c>
      <c r="O96" s="285" t="s">
        <v>2204</v>
      </c>
      <c r="P96" s="287" t="s">
        <v>2205</v>
      </c>
    </row>
    <row r="97" spans="2:16" ht="238" x14ac:dyDescent="0.2">
      <c r="B97" s="283">
        <v>91</v>
      </c>
      <c r="C97" s="284">
        <v>17</v>
      </c>
      <c r="D97" s="284" t="s">
        <v>1664</v>
      </c>
      <c r="E97" s="284" t="str">
        <f t="shared" si="1"/>
        <v>Known</v>
      </c>
      <c r="F97" s="283">
        <v>3</v>
      </c>
      <c r="G97" s="284" t="s">
        <v>441</v>
      </c>
      <c r="H97" s="285" t="s">
        <v>28</v>
      </c>
      <c r="I97" s="285" t="s">
        <v>2206</v>
      </c>
      <c r="J97" s="285" t="s">
        <v>28</v>
      </c>
      <c r="K97" s="286" t="s">
        <v>2207</v>
      </c>
      <c r="L97" s="285" t="s">
        <v>2407</v>
      </c>
      <c r="M97" s="285" t="s">
        <v>2208</v>
      </c>
      <c r="N97" s="285" t="s">
        <v>28</v>
      </c>
      <c r="O97" s="285" t="s">
        <v>2209</v>
      </c>
      <c r="P97" s="287" t="s">
        <v>2210</v>
      </c>
    </row>
    <row r="98" spans="2:16" ht="34" x14ac:dyDescent="0.2">
      <c r="B98" s="283">
        <v>92</v>
      </c>
      <c r="C98" s="284">
        <v>17</v>
      </c>
      <c r="D98" s="284" t="s">
        <v>1924</v>
      </c>
      <c r="E98" s="284" t="str">
        <f t="shared" si="1"/>
        <v>Known</v>
      </c>
      <c r="F98" s="283">
        <v>1</v>
      </c>
      <c r="G98" s="284" t="s">
        <v>452</v>
      </c>
      <c r="H98" s="285" t="s">
        <v>28</v>
      </c>
      <c r="I98" s="285" t="s">
        <v>28</v>
      </c>
      <c r="J98" s="285" t="s">
        <v>28</v>
      </c>
      <c r="K98" s="286" t="s">
        <v>28</v>
      </c>
      <c r="L98" s="285" t="s">
        <v>802</v>
      </c>
      <c r="M98" s="285" t="s">
        <v>2211</v>
      </c>
      <c r="N98" s="285" t="s">
        <v>28</v>
      </c>
      <c r="O98" s="285" t="s">
        <v>2212</v>
      </c>
      <c r="P98" s="287" t="s">
        <v>2213</v>
      </c>
    </row>
    <row r="99" spans="2:16" ht="17" x14ac:dyDescent="0.2">
      <c r="B99" s="283">
        <v>93</v>
      </c>
      <c r="C99" s="284">
        <v>17</v>
      </c>
      <c r="D99" s="284" t="s">
        <v>1700</v>
      </c>
      <c r="E99" s="284" t="str">
        <f t="shared" si="1"/>
        <v>Known</v>
      </c>
      <c r="F99" s="283">
        <v>1</v>
      </c>
      <c r="G99" s="284" t="s">
        <v>456</v>
      </c>
      <c r="H99" s="285" t="s">
        <v>28</v>
      </c>
      <c r="I99" s="285" t="s">
        <v>2214</v>
      </c>
      <c r="J99" s="285" t="s">
        <v>28</v>
      </c>
      <c r="K99" s="286" t="s">
        <v>803</v>
      </c>
      <c r="L99" s="285" t="s">
        <v>804</v>
      </c>
      <c r="M99" s="285" t="s">
        <v>803</v>
      </c>
      <c r="N99" s="285" t="s">
        <v>28</v>
      </c>
      <c r="O99" s="285" t="s">
        <v>2215</v>
      </c>
      <c r="P99" s="287" t="s">
        <v>2216</v>
      </c>
    </row>
    <row r="100" spans="2:16" ht="17" x14ac:dyDescent="0.2">
      <c r="B100" s="283">
        <v>94</v>
      </c>
      <c r="C100" s="284">
        <v>18</v>
      </c>
      <c r="D100" s="284" t="s">
        <v>1925</v>
      </c>
      <c r="E100" s="284" t="str">
        <f t="shared" si="1"/>
        <v>Known</v>
      </c>
      <c r="F100" s="283">
        <v>1</v>
      </c>
      <c r="G100" s="284" t="s">
        <v>462</v>
      </c>
      <c r="H100" s="285" t="s">
        <v>28</v>
      </c>
      <c r="I100" s="285" t="s">
        <v>28</v>
      </c>
      <c r="J100" s="285" t="s">
        <v>28</v>
      </c>
      <c r="K100" s="286" t="s">
        <v>28</v>
      </c>
      <c r="L100" s="285" t="s">
        <v>805</v>
      </c>
      <c r="M100" s="285" t="s">
        <v>2217</v>
      </c>
      <c r="N100" s="285" t="s">
        <v>28</v>
      </c>
      <c r="O100" s="285" t="s">
        <v>2218</v>
      </c>
      <c r="P100" s="287" t="s">
        <v>2219</v>
      </c>
    </row>
    <row r="101" spans="2:16" ht="17" x14ac:dyDescent="0.2">
      <c r="B101" s="283">
        <v>95</v>
      </c>
      <c r="C101" s="284">
        <v>18</v>
      </c>
      <c r="D101" s="284" t="s">
        <v>1926</v>
      </c>
      <c r="E101" s="284" t="str">
        <f t="shared" si="1"/>
        <v>Known</v>
      </c>
      <c r="F101" s="283">
        <v>1</v>
      </c>
      <c r="G101" s="284" t="s">
        <v>466</v>
      </c>
      <c r="H101" s="285" t="s">
        <v>28</v>
      </c>
      <c r="I101" s="285" t="s">
        <v>28</v>
      </c>
      <c r="J101" s="285" t="s">
        <v>28</v>
      </c>
      <c r="K101" s="286" t="s">
        <v>28</v>
      </c>
      <c r="L101" s="285" t="s">
        <v>806</v>
      </c>
      <c r="M101" s="285" t="s">
        <v>2220</v>
      </c>
      <c r="N101" s="285" t="s">
        <v>28</v>
      </c>
      <c r="O101" s="285" t="s">
        <v>2221</v>
      </c>
      <c r="P101" s="287" t="s">
        <v>2222</v>
      </c>
    </row>
    <row r="102" spans="2:16" ht="34" x14ac:dyDescent="0.2">
      <c r="B102" s="283">
        <v>96</v>
      </c>
      <c r="C102" s="284">
        <v>19</v>
      </c>
      <c r="D102" s="284" t="s">
        <v>1927</v>
      </c>
      <c r="E102" s="284" t="str">
        <f t="shared" si="1"/>
        <v>Newly reported</v>
      </c>
      <c r="F102" s="283">
        <v>1</v>
      </c>
      <c r="G102" s="284" t="s">
        <v>38</v>
      </c>
      <c r="H102" s="285" t="s">
        <v>28</v>
      </c>
      <c r="I102" s="285" t="s">
        <v>28</v>
      </c>
      <c r="J102" s="285" t="s">
        <v>28</v>
      </c>
      <c r="K102" s="286" t="s">
        <v>28</v>
      </c>
      <c r="L102" s="285" t="s">
        <v>23</v>
      </c>
      <c r="M102" s="285" t="s">
        <v>38</v>
      </c>
      <c r="N102" s="285" t="s">
        <v>28</v>
      </c>
      <c r="O102" s="285" t="s">
        <v>2223</v>
      </c>
      <c r="P102" s="287" t="s">
        <v>2224</v>
      </c>
    </row>
    <row r="103" spans="2:16" ht="34" x14ac:dyDescent="0.2">
      <c r="B103" s="283">
        <v>97</v>
      </c>
      <c r="C103" s="284">
        <v>19</v>
      </c>
      <c r="D103" s="284" t="s">
        <v>1705</v>
      </c>
      <c r="E103" s="284" t="str">
        <f t="shared" si="1"/>
        <v>Newly reported</v>
      </c>
      <c r="F103" s="283">
        <v>1</v>
      </c>
      <c r="G103" s="284" t="s">
        <v>38</v>
      </c>
      <c r="H103" s="285" t="s">
        <v>28</v>
      </c>
      <c r="I103" s="285" t="s">
        <v>2225</v>
      </c>
      <c r="J103" s="285" t="s">
        <v>473</v>
      </c>
      <c r="K103" s="286" t="s">
        <v>2226</v>
      </c>
      <c r="L103" s="285" t="s">
        <v>23</v>
      </c>
      <c r="M103" s="285" t="s">
        <v>38</v>
      </c>
      <c r="N103" s="285" t="s">
        <v>28</v>
      </c>
      <c r="O103" s="285" t="s">
        <v>2227</v>
      </c>
      <c r="P103" s="287" t="s">
        <v>2228</v>
      </c>
    </row>
    <row r="104" spans="2:16" ht="119" x14ac:dyDescent="0.2">
      <c r="B104" s="283">
        <v>98</v>
      </c>
      <c r="C104" s="284">
        <v>19</v>
      </c>
      <c r="D104" s="284" t="s">
        <v>1710</v>
      </c>
      <c r="E104" s="284" t="str">
        <f t="shared" si="1"/>
        <v>Known</v>
      </c>
      <c r="F104" s="283">
        <v>3</v>
      </c>
      <c r="G104" s="285" t="s">
        <v>2229</v>
      </c>
      <c r="H104" s="285" t="s">
        <v>28</v>
      </c>
      <c r="I104" s="285" t="s">
        <v>2230</v>
      </c>
      <c r="J104" s="285" t="s">
        <v>2231</v>
      </c>
      <c r="K104" s="286" t="s">
        <v>2232</v>
      </c>
      <c r="L104" s="285" t="s">
        <v>2408</v>
      </c>
      <c r="M104" s="285" t="s">
        <v>2233</v>
      </c>
      <c r="N104" s="285" t="s">
        <v>2347</v>
      </c>
      <c r="O104" s="285" t="s">
        <v>2234</v>
      </c>
      <c r="P104" s="287" t="s">
        <v>2235</v>
      </c>
    </row>
    <row r="105" spans="2:16" ht="34" x14ac:dyDescent="0.2">
      <c r="B105" s="283">
        <v>99</v>
      </c>
      <c r="C105" s="284">
        <v>19</v>
      </c>
      <c r="D105" s="284" t="s">
        <v>1928</v>
      </c>
      <c r="E105" s="284" t="str">
        <f t="shared" si="1"/>
        <v>Newly reported</v>
      </c>
      <c r="F105" s="283">
        <v>1</v>
      </c>
      <c r="G105" s="284" t="s">
        <v>38</v>
      </c>
      <c r="H105" s="285" t="s">
        <v>28</v>
      </c>
      <c r="I105" s="285" t="s">
        <v>28</v>
      </c>
      <c r="J105" s="285" t="s">
        <v>28</v>
      </c>
      <c r="K105" s="286" t="s">
        <v>28</v>
      </c>
      <c r="L105" s="285" t="s">
        <v>2409</v>
      </c>
      <c r="M105" s="285" t="s">
        <v>38</v>
      </c>
      <c r="N105" s="285" t="s">
        <v>2348</v>
      </c>
      <c r="O105" s="285" t="s">
        <v>2236</v>
      </c>
      <c r="P105" s="287" t="s">
        <v>2237</v>
      </c>
    </row>
    <row r="106" spans="2:16" ht="17" x14ac:dyDescent="0.2">
      <c r="B106" s="283">
        <v>100</v>
      </c>
      <c r="C106" s="284">
        <v>19</v>
      </c>
      <c r="D106" s="284" t="s">
        <v>1725</v>
      </c>
      <c r="E106" s="284" t="str">
        <f t="shared" si="1"/>
        <v>Newly reported</v>
      </c>
      <c r="F106" s="283">
        <v>1</v>
      </c>
      <c r="G106" s="284" t="s">
        <v>38</v>
      </c>
      <c r="H106" s="285" t="s">
        <v>28</v>
      </c>
      <c r="I106" s="285" t="s">
        <v>2238</v>
      </c>
      <c r="J106" s="285" t="s">
        <v>28</v>
      </c>
      <c r="K106" s="286" t="s">
        <v>815</v>
      </c>
      <c r="L106" s="285" t="s">
        <v>814</v>
      </c>
      <c r="M106" s="285" t="s">
        <v>38</v>
      </c>
      <c r="N106" s="285" t="s">
        <v>28</v>
      </c>
      <c r="O106" s="285" t="s">
        <v>2239</v>
      </c>
      <c r="P106" s="287" t="s">
        <v>2240</v>
      </c>
    </row>
    <row r="107" spans="2:16" ht="51" x14ac:dyDescent="0.2">
      <c r="B107" s="283">
        <v>101</v>
      </c>
      <c r="C107" s="284">
        <v>19</v>
      </c>
      <c r="D107" s="284" t="s">
        <v>1729</v>
      </c>
      <c r="E107" s="284" t="str">
        <f t="shared" si="1"/>
        <v>Known</v>
      </c>
      <c r="F107" s="283">
        <v>1</v>
      </c>
      <c r="G107" s="284" t="s">
        <v>491</v>
      </c>
      <c r="H107" s="285" t="s">
        <v>28</v>
      </c>
      <c r="I107" s="285" t="s">
        <v>2241</v>
      </c>
      <c r="J107" s="285" t="s">
        <v>28</v>
      </c>
      <c r="K107" s="286" t="s">
        <v>818</v>
      </c>
      <c r="L107" s="285" t="s">
        <v>900</v>
      </c>
      <c r="M107" s="285" t="s">
        <v>818</v>
      </c>
      <c r="N107" s="285" t="s">
        <v>28</v>
      </c>
      <c r="O107" s="285" t="s">
        <v>2242</v>
      </c>
      <c r="P107" s="287" t="s">
        <v>2243</v>
      </c>
    </row>
    <row r="108" spans="2:16" ht="17" x14ac:dyDescent="0.2">
      <c r="B108" s="283">
        <v>102</v>
      </c>
      <c r="C108" s="284">
        <v>20</v>
      </c>
      <c r="D108" s="284" t="s">
        <v>1929</v>
      </c>
      <c r="E108" s="284" t="str">
        <f t="shared" si="1"/>
        <v>Newly reported</v>
      </c>
      <c r="F108" s="283">
        <v>1</v>
      </c>
      <c r="G108" s="284" t="s">
        <v>38</v>
      </c>
      <c r="H108" s="285" t="s">
        <v>28</v>
      </c>
      <c r="I108" s="285" t="s">
        <v>28</v>
      </c>
      <c r="J108" s="285" t="s">
        <v>28</v>
      </c>
      <c r="K108" s="286" t="s">
        <v>28</v>
      </c>
      <c r="L108" s="285" t="s">
        <v>23</v>
      </c>
      <c r="M108" s="285" t="s">
        <v>38</v>
      </c>
      <c r="N108" s="285" t="s">
        <v>28</v>
      </c>
      <c r="O108" s="285" t="s">
        <v>2244</v>
      </c>
      <c r="P108" s="287" t="s">
        <v>2245</v>
      </c>
    </row>
    <row r="109" spans="2:16" ht="34" x14ac:dyDescent="0.2">
      <c r="B109" s="283">
        <v>103</v>
      </c>
      <c r="C109" s="284">
        <v>20</v>
      </c>
      <c r="D109" s="284" t="s">
        <v>1930</v>
      </c>
      <c r="E109" s="284" t="str">
        <f t="shared" si="1"/>
        <v>Known</v>
      </c>
      <c r="F109" s="283">
        <v>2</v>
      </c>
      <c r="G109" s="284" t="s">
        <v>502</v>
      </c>
      <c r="H109" s="285" t="s">
        <v>28</v>
      </c>
      <c r="I109" s="285" t="s">
        <v>28</v>
      </c>
      <c r="J109" s="285" t="s">
        <v>28</v>
      </c>
      <c r="K109" s="286" t="s">
        <v>28</v>
      </c>
      <c r="L109" s="285" t="s">
        <v>858</v>
      </c>
      <c r="M109" s="285" t="s">
        <v>2246</v>
      </c>
      <c r="N109" s="285" t="s">
        <v>28</v>
      </c>
      <c r="O109" s="285" t="s">
        <v>2247</v>
      </c>
      <c r="P109" s="287" t="s">
        <v>2248</v>
      </c>
    </row>
    <row r="110" spans="2:16" ht="17" x14ac:dyDescent="0.2">
      <c r="B110" s="283">
        <v>104</v>
      </c>
      <c r="C110" s="284">
        <v>20</v>
      </c>
      <c r="D110" s="284" t="s">
        <v>1839</v>
      </c>
      <c r="E110" s="284" t="str">
        <f t="shared" si="1"/>
        <v>Newly reported</v>
      </c>
      <c r="F110" s="283">
        <v>1</v>
      </c>
      <c r="G110" s="284" t="s">
        <v>38</v>
      </c>
      <c r="H110" s="285" t="s">
        <v>28</v>
      </c>
      <c r="I110" s="285" t="s">
        <v>28</v>
      </c>
      <c r="J110" s="285" t="s">
        <v>1841</v>
      </c>
      <c r="K110" s="286" t="s">
        <v>28</v>
      </c>
      <c r="L110" s="285" t="s">
        <v>23</v>
      </c>
      <c r="M110" s="285" t="s">
        <v>38</v>
      </c>
      <c r="N110" s="285" t="s">
        <v>28</v>
      </c>
      <c r="O110" s="285" t="s">
        <v>2249</v>
      </c>
      <c r="P110" s="287" t="s">
        <v>2250</v>
      </c>
    </row>
    <row r="111" spans="2:16" ht="17" x14ac:dyDescent="0.2">
      <c r="B111" s="283">
        <v>105</v>
      </c>
      <c r="C111" s="284">
        <v>21</v>
      </c>
      <c r="D111" s="284" t="s">
        <v>1842</v>
      </c>
      <c r="E111" s="284" t="str">
        <f t="shared" si="1"/>
        <v>Newly reported</v>
      </c>
      <c r="F111" s="283">
        <v>1</v>
      </c>
      <c r="G111" s="284" t="s">
        <v>38</v>
      </c>
      <c r="H111" s="285" t="s">
        <v>28</v>
      </c>
      <c r="I111" s="285" t="s">
        <v>28</v>
      </c>
      <c r="J111" s="285" t="s">
        <v>1844</v>
      </c>
      <c r="K111" s="286" t="s">
        <v>28</v>
      </c>
      <c r="L111" s="285" t="s">
        <v>23</v>
      </c>
      <c r="M111" s="285" t="s">
        <v>38</v>
      </c>
      <c r="N111" s="285" t="s">
        <v>28</v>
      </c>
      <c r="O111" s="285" t="s">
        <v>2251</v>
      </c>
      <c r="P111" s="287" t="s">
        <v>2252</v>
      </c>
    </row>
    <row r="112" spans="2:16" ht="17" x14ac:dyDescent="0.2">
      <c r="B112" s="283">
        <v>106</v>
      </c>
      <c r="C112" s="284">
        <v>22</v>
      </c>
      <c r="D112" s="284" t="s">
        <v>1931</v>
      </c>
      <c r="E112" s="284" t="str">
        <f t="shared" si="1"/>
        <v>Newly reported</v>
      </c>
      <c r="F112" s="283">
        <v>1</v>
      </c>
      <c r="G112" s="284" t="s">
        <v>38</v>
      </c>
      <c r="H112" s="285" t="s">
        <v>28</v>
      </c>
      <c r="I112" s="285" t="s">
        <v>28</v>
      </c>
      <c r="J112" s="285" t="s">
        <v>28</v>
      </c>
      <c r="K112" s="286" t="s">
        <v>28</v>
      </c>
      <c r="L112" s="285" t="s">
        <v>23</v>
      </c>
      <c r="M112" s="285" t="s">
        <v>38</v>
      </c>
      <c r="N112" s="285" t="s">
        <v>2346</v>
      </c>
      <c r="O112" s="285" t="s">
        <v>2253</v>
      </c>
      <c r="P112" s="287" t="s">
        <v>2254</v>
      </c>
    </row>
    <row r="113" spans="2:16" ht="17" x14ac:dyDescent="0.2">
      <c r="B113" s="283">
        <v>107</v>
      </c>
      <c r="C113" s="284">
        <v>22</v>
      </c>
      <c r="D113" s="284" t="s">
        <v>1932</v>
      </c>
      <c r="E113" s="284" t="str">
        <f t="shared" si="1"/>
        <v>Newly reported</v>
      </c>
      <c r="F113" s="283">
        <v>1</v>
      </c>
      <c r="G113" s="284" t="s">
        <v>38</v>
      </c>
      <c r="H113" s="285" t="s">
        <v>28</v>
      </c>
      <c r="I113" s="285" t="s">
        <v>28</v>
      </c>
      <c r="J113" s="285" t="s">
        <v>28</v>
      </c>
      <c r="K113" s="286" t="s">
        <v>28</v>
      </c>
      <c r="L113" s="285" t="s">
        <v>824</v>
      </c>
      <c r="M113" s="285" t="s">
        <v>38</v>
      </c>
      <c r="N113" s="285" t="s">
        <v>28</v>
      </c>
      <c r="O113" s="285" t="s">
        <v>2255</v>
      </c>
      <c r="P113" s="287" t="s">
        <v>2256</v>
      </c>
    </row>
    <row r="114" spans="2:16" ht="17" x14ac:dyDescent="0.2">
      <c r="B114" s="283">
        <v>108</v>
      </c>
      <c r="C114" s="284">
        <v>22</v>
      </c>
      <c r="D114" s="284" t="s">
        <v>1933</v>
      </c>
      <c r="E114" s="284" t="str">
        <f t="shared" si="1"/>
        <v>Known</v>
      </c>
      <c r="F114" s="283">
        <v>1</v>
      </c>
      <c r="G114" s="284" t="s">
        <v>520</v>
      </c>
      <c r="H114" s="285" t="s">
        <v>28</v>
      </c>
      <c r="I114" s="285" t="s">
        <v>28</v>
      </c>
      <c r="J114" s="285" t="s">
        <v>28</v>
      </c>
      <c r="K114" s="286" t="s">
        <v>28</v>
      </c>
      <c r="L114" s="285" t="s">
        <v>859</v>
      </c>
      <c r="M114" s="285" t="s">
        <v>2257</v>
      </c>
      <c r="N114" s="285" t="s">
        <v>28</v>
      </c>
      <c r="O114" s="285" t="s">
        <v>2258</v>
      </c>
      <c r="P114" s="287" t="s">
        <v>2259</v>
      </c>
    </row>
    <row r="115" spans="2:16" ht="17" x14ac:dyDescent="0.2">
      <c r="B115" s="330">
        <v>109</v>
      </c>
      <c r="C115" s="331">
        <v>22</v>
      </c>
      <c r="D115" s="331" t="s">
        <v>1934</v>
      </c>
      <c r="E115" s="331" t="str">
        <f t="shared" si="1"/>
        <v>Newly reported</v>
      </c>
      <c r="F115" s="330">
        <v>1</v>
      </c>
      <c r="G115" s="331" t="s">
        <v>38</v>
      </c>
      <c r="H115" s="332" t="s">
        <v>28</v>
      </c>
      <c r="I115" s="332" t="s">
        <v>28</v>
      </c>
      <c r="J115" s="332" t="s">
        <v>28</v>
      </c>
      <c r="K115" s="333" t="s">
        <v>28</v>
      </c>
      <c r="L115" s="332" t="s">
        <v>23</v>
      </c>
      <c r="M115" s="332" t="s">
        <v>38</v>
      </c>
      <c r="N115" s="332" t="s">
        <v>28</v>
      </c>
      <c r="O115" s="332" t="s">
        <v>2260</v>
      </c>
      <c r="P115" s="334" t="s">
        <v>2261</v>
      </c>
    </row>
    <row r="117" spans="2:16" ht="19" x14ac:dyDescent="0.2">
      <c r="B117" t="s">
        <v>1755</v>
      </c>
    </row>
    <row r="118" spans="2:16" ht="19" x14ac:dyDescent="0.2">
      <c r="B118" t="s">
        <v>1756</v>
      </c>
    </row>
    <row r="119" spans="2:16" ht="19" x14ac:dyDescent="0.2">
      <c r="B119" s="181" t="s">
        <v>2928</v>
      </c>
    </row>
    <row r="120" spans="2:16" ht="19" x14ac:dyDescent="0.2">
      <c r="B120" s="181" t="s">
        <v>2929</v>
      </c>
    </row>
    <row r="121" spans="2:16" ht="19" x14ac:dyDescent="0.2">
      <c r="B121" s="181" t="s">
        <v>2930</v>
      </c>
    </row>
    <row r="122" spans="2:16" ht="19" x14ac:dyDescent="0.2">
      <c r="B122" t="s">
        <v>2262</v>
      </c>
    </row>
    <row r="123" spans="2:16" ht="19" x14ac:dyDescent="0.2">
      <c r="B123" t="s">
        <v>2263</v>
      </c>
    </row>
    <row r="124" spans="2:16" ht="19" x14ac:dyDescent="0.2">
      <c r="B124" t="s">
        <v>2264</v>
      </c>
    </row>
  </sheetData>
  <mergeCells count="3">
    <mergeCell ref="B5:E5"/>
    <mergeCell ref="F5:J5"/>
    <mergeCell ref="K5:P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C116B-6646-9B43-98FD-F4C76E26A846}">
  <dimension ref="B2:H31"/>
  <sheetViews>
    <sheetView workbookViewId="0"/>
  </sheetViews>
  <sheetFormatPr baseColWidth="10" defaultRowHeight="16" x14ac:dyDescent="0.2"/>
  <cols>
    <col min="1" max="1" width="4" customWidth="1"/>
    <col min="2" max="2" width="13.6640625" customWidth="1"/>
    <col min="3" max="3" width="12" bestFit="1" customWidth="1"/>
    <col min="4" max="4" width="14" customWidth="1"/>
    <col min="5" max="5" width="18.5" bestFit="1" customWidth="1"/>
    <col min="6" max="6" width="31.1640625" customWidth="1"/>
    <col min="7" max="8" width="17" customWidth="1"/>
  </cols>
  <sheetData>
    <row r="2" spans="2:8" x14ac:dyDescent="0.2">
      <c r="B2" s="25" t="s">
        <v>2925</v>
      </c>
    </row>
    <row r="3" spans="2:8" x14ac:dyDescent="0.2">
      <c r="B3" t="s">
        <v>2538</v>
      </c>
    </row>
    <row r="4" spans="2:8" ht="19" x14ac:dyDescent="0.2">
      <c r="B4" t="s">
        <v>2828</v>
      </c>
    </row>
    <row r="5" spans="2:8" ht="19" x14ac:dyDescent="0.2">
      <c r="B5" t="s">
        <v>2829</v>
      </c>
    </row>
    <row r="7" spans="2:8" ht="71" x14ac:dyDescent="0.2">
      <c r="B7" s="247" t="s">
        <v>2534</v>
      </c>
      <c r="C7" s="247" t="s">
        <v>2535</v>
      </c>
      <c r="D7" s="247" t="s">
        <v>9</v>
      </c>
      <c r="E7" s="247" t="s">
        <v>2536</v>
      </c>
      <c r="F7" s="247" t="s">
        <v>2537</v>
      </c>
      <c r="G7" s="247" t="s">
        <v>2826</v>
      </c>
      <c r="H7" s="510" t="s">
        <v>2827</v>
      </c>
    </row>
    <row r="8" spans="2:8" x14ac:dyDescent="0.2">
      <c r="B8" s="31" t="s">
        <v>2500</v>
      </c>
      <c r="C8" s="31">
        <v>1</v>
      </c>
      <c r="D8" s="31">
        <v>26694260</v>
      </c>
      <c r="E8" s="31" t="s">
        <v>2501</v>
      </c>
      <c r="F8" s="31" t="s">
        <v>2502</v>
      </c>
      <c r="G8" s="507">
        <v>4.0000000000000001E-8</v>
      </c>
      <c r="H8" s="507">
        <v>6.55E-6</v>
      </c>
    </row>
    <row r="9" spans="2:8" x14ac:dyDescent="0.2">
      <c r="B9" s="31" t="s">
        <v>2503</v>
      </c>
      <c r="C9" s="31">
        <v>3</v>
      </c>
      <c r="D9" s="31">
        <v>101633360</v>
      </c>
      <c r="E9" s="31" t="s">
        <v>2504</v>
      </c>
      <c r="F9" s="31" t="s">
        <v>2505</v>
      </c>
      <c r="G9" s="507">
        <v>1.0000000000000001E-9</v>
      </c>
      <c r="H9" s="507">
        <v>4.0300000000000002E-20</v>
      </c>
    </row>
    <row r="10" spans="2:8" x14ac:dyDescent="0.2">
      <c r="B10" s="31" t="s">
        <v>2506</v>
      </c>
      <c r="C10" s="31">
        <v>3</v>
      </c>
      <c r="D10" s="31">
        <v>122003769</v>
      </c>
      <c r="E10" s="31" t="s">
        <v>2501</v>
      </c>
      <c r="F10" s="31" t="s">
        <v>2502</v>
      </c>
      <c r="G10" s="507">
        <v>2.0000000000000001E-10</v>
      </c>
      <c r="H10" s="507">
        <v>3.2949999999999998E-6</v>
      </c>
    </row>
    <row r="11" spans="2:8" x14ac:dyDescent="0.2">
      <c r="B11" s="31" t="s">
        <v>2507</v>
      </c>
      <c r="C11" s="31">
        <v>4</v>
      </c>
      <c r="D11" s="31">
        <v>103514445</v>
      </c>
      <c r="E11" s="31" t="s">
        <v>2501</v>
      </c>
      <c r="F11" s="31" t="s">
        <v>2508</v>
      </c>
      <c r="G11" s="507">
        <v>2E-8</v>
      </c>
      <c r="H11" s="507">
        <v>2.621E-7</v>
      </c>
    </row>
    <row r="12" spans="2:8" x14ac:dyDescent="0.2">
      <c r="B12" s="31" t="s">
        <v>2509</v>
      </c>
      <c r="C12" s="31">
        <v>4</v>
      </c>
      <c r="D12" s="31">
        <v>106640631</v>
      </c>
      <c r="E12" s="31" t="s">
        <v>2501</v>
      </c>
      <c r="F12" s="31" t="s">
        <v>2510</v>
      </c>
      <c r="G12" s="507">
        <v>6.0000000000000003E-12</v>
      </c>
      <c r="H12" s="507">
        <v>1.075E-4</v>
      </c>
    </row>
    <row r="13" spans="2:8" x14ac:dyDescent="0.2">
      <c r="B13" s="31" t="s">
        <v>2511</v>
      </c>
      <c r="C13" s="31">
        <v>4</v>
      </c>
      <c r="D13" s="31">
        <v>156540021</v>
      </c>
      <c r="E13" s="31" t="s">
        <v>2512</v>
      </c>
      <c r="F13" s="31" t="s">
        <v>2513</v>
      </c>
      <c r="G13" s="507">
        <v>4.0000000000000001E-8</v>
      </c>
      <c r="H13" s="507">
        <v>4.6690000000000002E-4</v>
      </c>
    </row>
    <row r="14" spans="2:8" x14ac:dyDescent="0.2">
      <c r="B14" s="31" t="s">
        <v>2514</v>
      </c>
      <c r="C14" s="31">
        <v>5</v>
      </c>
      <c r="D14" s="31">
        <v>79745469</v>
      </c>
      <c r="E14" s="31" t="s">
        <v>2501</v>
      </c>
      <c r="F14" s="31" t="s">
        <v>2502</v>
      </c>
      <c r="G14" s="507">
        <v>2E-8</v>
      </c>
      <c r="H14" s="507">
        <v>1.673E-4</v>
      </c>
    </row>
    <row r="15" spans="2:8" x14ac:dyDescent="0.2">
      <c r="B15" s="31" t="s">
        <v>2515</v>
      </c>
      <c r="C15" s="31">
        <v>5</v>
      </c>
      <c r="D15" s="31">
        <v>159879978</v>
      </c>
      <c r="E15" s="31" t="s">
        <v>2516</v>
      </c>
      <c r="F15" s="31" t="s">
        <v>2517</v>
      </c>
      <c r="G15" s="507">
        <v>1E-8</v>
      </c>
      <c r="H15" s="507">
        <v>2.3939999999999999E-7</v>
      </c>
    </row>
    <row r="16" spans="2:8" x14ac:dyDescent="0.2">
      <c r="B16" s="31" t="s">
        <v>2518</v>
      </c>
      <c r="C16" s="31">
        <v>7</v>
      </c>
      <c r="D16" s="31">
        <v>29980471</v>
      </c>
      <c r="E16" s="31" t="s">
        <v>2501</v>
      </c>
      <c r="F16" s="31" t="s">
        <v>2502</v>
      </c>
      <c r="G16" s="507">
        <v>4.0000000000000001E-53</v>
      </c>
      <c r="H16" s="507">
        <v>1.2539999999999999E-3</v>
      </c>
    </row>
    <row r="17" spans="2:8" x14ac:dyDescent="0.2">
      <c r="B17" s="31" t="s">
        <v>2519</v>
      </c>
      <c r="C17" s="31">
        <v>7</v>
      </c>
      <c r="D17" s="31">
        <v>31682453</v>
      </c>
      <c r="E17" s="31" t="s">
        <v>2501</v>
      </c>
      <c r="F17" s="31" t="s">
        <v>2502</v>
      </c>
      <c r="G17" s="507">
        <v>1.9999999999999999E-11</v>
      </c>
      <c r="H17" s="507">
        <v>5.7609999999999996E-4</v>
      </c>
    </row>
    <row r="18" spans="2:8" x14ac:dyDescent="0.2">
      <c r="B18" s="31" t="s">
        <v>2520</v>
      </c>
      <c r="C18" s="31">
        <v>7</v>
      </c>
      <c r="D18" s="31">
        <v>141313971</v>
      </c>
      <c r="E18" s="31" t="s">
        <v>2501</v>
      </c>
      <c r="F18" s="31" t="s">
        <v>2510</v>
      </c>
      <c r="G18" s="507">
        <v>2.0000000000000002E-15</v>
      </c>
      <c r="H18" s="507">
        <v>9.4280000000000004E-4</v>
      </c>
    </row>
    <row r="19" spans="2:8" x14ac:dyDescent="0.2">
      <c r="B19" s="31" t="s">
        <v>2521</v>
      </c>
      <c r="C19" s="31">
        <v>8</v>
      </c>
      <c r="D19" s="31">
        <v>3684199</v>
      </c>
      <c r="E19" s="31" t="s">
        <v>2516</v>
      </c>
      <c r="F19" s="31" t="s">
        <v>2517</v>
      </c>
      <c r="G19" s="507">
        <v>5.0000000000000001E-9</v>
      </c>
      <c r="H19" s="507">
        <v>9.7280000000000004E-5</v>
      </c>
    </row>
    <row r="20" spans="2:8" x14ac:dyDescent="0.2">
      <c r="B20" s="31" t="s">
        <v>2522</v>
      </c>
      <c r="C20" s="31">
        <v>9</v>
      </c>
      <c r="D20" s="31">
        <v>90835726</v>
      </c>
      <c r="E20" s="31" t="s">
        <v>2501</v>
      </c>
      <c r="F20" s="31" t="s">
        <v>2502</v>
      </c>
      <c r="G20" s="507">
        <v>9.9999999999999994E-37</v>
      </c>
      <c r="H20" s="507">
        <v>3.215E-3</v>
      </c>
    </row>
    <row r="21" spans="2:8" x14ac:dyDescent="0.2">
      <c r="B21" s="31" t="s">
        <v>2523</v>
      </c>
      <c r="C21" s="31">
        <v>11</v>
      </c>
      <c r="D21" s="31">
        <v>9537904</v>
      </c>
      <c r="E21" s="31" t="s">
        <v>2501</v>
      </c>
      <c r="F21" s="31" t="s">
        <v>2502</v>
      </c>
      <c r="G21" s="507">
        <v>2E-8</v>
      </c>
      <c r="H21" s="507">
        <v>4.2119999999999999E-4</v>
      </c>
    </row>
    <row r="22" spans="2:8" x14ac:dyDescent="0.2">
      <c r="B22" s="31" t="s">
        <v>2524</v>
      </c>
      <c r="C22" s="31">
        <v>12</v>
      </c>
      <c r="D22" s="31">
        <v>6567787</v>
      </c>
      <c r="E22" s="31" t="s">
        <v>2501</v>
      </c>
      <c r="F22" s="31" t="s">
        <v>2508</v>
      </c>
      <c r="G22" s="507">
        <v>4.0000000000000001E-8</v>
      </c>
      <c r="H22" s="507">
        <v>1.012E-11</v>
      </c>
    </row>
    <row r="23" spans="2:8" x14ac:dyDescent="0.2">
      <c r="B23" s="31" t="s">
        <v>2525</v>
      </c>
      <c r="C23" s="31">
        <v>13</v>
      </c>
      <c r="D23" s="31">
        <v>20763612</v>
      </c>
      <c r="E23" s="31" t="s">
        <v>2501</v>
      </c>
      <c r="F23" s="31" t="s">
        <v>2526</v>
      </c>
      <c r="G23" s="507">
        <v>7.0000000000000004E-11</v>
      </c>
      <c r="H23" s="507">
        <v>1.6500000000000001E-7</v>
      </c>
    </row>
    <row r="24" spans="2:8" x14ac:dyDescent="0.2">
      <c r="B24" s="31" t="s">
        <v>1742</v>
      </c>
      <c r="C24" s="31">
        <v>13</v>
      </c>
      <c r="D24" s="31">
        <v>40333369</v>
      </c>
      <c r="E24" s="31" t="s">
        <v>2516</v>
      </c>
      <c r="F24" s="31" t="s">
        <v>2527</v>
      </c>
      <c r="G24" s="507">
        <v>2.9999999999999997E-8</v>
      </c>
      <c r="H24" s="507">
        <v>3.7409999999999999E-7</v>
      </c>
    </row>
    <row r="25" spans="2:8" x14ac:dyDescent="0.2">
      <c r="B25" s="31" t="s">
        <v>2528</v>
      </c>
      <c r="C25" s="31">
        <v>14</v>
      </c>
      <c r="D25" s="31">
        <v>64560092</v>
      </c>
      <c r="E25" s="31" t="s">
        <v>2501</v>
      </c>
      <c r="F25" s="31" t="s">
        <v>2502</v>
      </c>
      <c r="G25" s="507">
        <v>3.9999999999999998E-11</v>
      </c>
      <c r="H25" s="507">
        <v>7.3079999999999998E-5</v>
      </c>
    </row>
    <row r="26" spans="2:8" x14ac:dyDescent="0.2">
      <c r="B26" s="31" t="s">
        <v>2529</v>
      </c>
      <c r="C26" s="31">
        <v>17</v>
      </c>
      <c r="D26" s="31">
        <v>65870073</v>
      </c>
      <c r="E26" s="31" t="s">
        <v>2501</v>
      </c>
      <c r="F26" s="31" t="s">
        <v>2502</v>
      </c>
      <c r="G26" s="507">
        <v>2E-8</v>
      </c>
      <c r="H26" s="507">
        <v>7.6139999999999997E-4</v>
      </c>
    </row>
    <row r="27" spans="2:8" x14ac:dyDescent="0.2">
      <c r="B27" s="31" t="s">
        <v>2530</v>
      </c>
      <c r="C27" s="31">
        <v>17</v>
      </c>
      <c r="D27" s="31">
        <v>76121318</v>
      </c>
      <c r="E27" s="31" t="s">
        <v>2501</v>
      </c>
      <c r="F27" s="31" t="s">
        <v>2502</v>
      </c>
      <c r="G27" s="507">
        <v>2E-8</v>
      </c>
      <c r="H27" s="507">
        <v>4.9710000000000003E-6</v>
      </c>
    </row>
    <row r="28" spans="2:8" x14ac:dyDescent="0.2">
      <c r="B28" s="31" t="s">
        <v>2531</v>
      </c>
      <c r="C28" s="31">
        <v>18</v>
      </c>
      <c r="D28" s="31">
        <v>61656785</v>
      </c>
      <c r="E28" s="31" t="s">
        <v>2516</v>
      </c>
      <c r="F28" s="31" t="s">
        <v>2517</v>
      </c>
      <c r="G28" s="507">
        <v>6E-9</v>
      </c>
      <c r="H28" s="507">
        <v>8.1929999999999997E-5</v>
      </c>
    </row>
    <row r="29" spans="2:8" x14ac:dyDescent="0.2">
      <c r="B29" s="31" t="s">
        <v>2532</v>
      </c>
      <c r="C29" s="31">
        <v>19</v>
      </c>
      <c r="D29" s="31">
        <v>53451291</v>
      </c>
      <c r="E29" s="31" t="s">
        <v>2516</v>
      </c>
      <c r="F29" s="31" t="s">
        <v>2517</v>
      </c>
      <c r="G29" s="507">
        <v>2.0000000000000001E-9</v>
      </c>
      <c r="H29" s="507">
        <v>2.5840000000000002E-6</v>
      </c>
    </row>
    <row r="30" spans="2:8" x14ac:dyDescent="0.2">
      <c r="B30" s="31" t="s">
        <v>2533</v>
      </c>
      <c r="C30" s="31">
        <v>21</v>
      </c>
      <c r="D30" s="31">
        <v>34945721</v>
      </c>
      <c r="E30" s="31" t="s">
        <v>2501</v>
      </c>
      <c r="F30" s="31" t="s">
        <v>2502</v>
      </c>
      <c r="G30" s="507">
        <v>1E-8</v>
      </c>
      <c r="H30" s="507">
        <v>1.119E-5</v>
      </c>
    </row>
    <row r="31" spans="2:8" x14ac:dyDescent="0.2">
      <c r="B31" s="31" t="s">
        <v>1747</v>
      </c>
      <c r="C31" s="31">
        <v>21</v>
      </c>
      <c r="D31" s="31">
        <v>36470865</v>
      </c>
      <c r="E31" s="31" t="s">
        <v>2516</v>
      </c>
      <c r="F31" s="31" t="s">
        <v>2527</v>
      </c>
      <c r="G31" s="507">
        <v>4.0000000000000001E-8</v>
      </c>
      <c r="H31" s="507">
        <v>8.4499999999999996E-8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A4565-3932-914C-AB7B-BFA5618595DB}">
  <dimension ref="B2:G29"/>
  <sheetViews>
    <sheetView zoomScale="99" workbookViewId="0"/>
  </sheetViews>
  <sheetFormatPr baseColWidth="10" defaultColWidth="11" defaultRowHeight="16" x14ac:dyDescent="0.2"/>
  <cols>
    <col min="1" max="1" width="4" customWidth="1"/>
    <col min="2" max="2" width="19.33203125" customWidth="1"/>
    <col min="4" max="4" width="30.6640625" bestFit="1" customWidth="1"/>
    <col min="5" max="7" width="12.5" customWidth="1"/>
  </cols>
  <sheetData>
    <row r="2" spans="2:7" x14ac:dyDescent="0.2">
      <c r="B2" s="25" t="s">
        <v>2926</v>
      </c>
    </row>
    <row r="3" spans="2:7" ht="18" x14ac:dyDescent="0.25">
      <c r="B3" t="s">
        <v>555</v>
      </c>
    </row>
    <row r="4" spans="2:7" ht="19" x14ac:dyDescent="0.2">
      <c r="B4" t="s">
        <v>2265</v>
      </c>
    </row>
    <row r="5" spans="2:7" ht="19" x14ac:dyDescent="0.2">
      <c r="B5" t="s">
        <v>554</v>
      </c>
    </row>
    <row r="8" spans="2:7" ht="19" x14ac:dyDescent="0.2">
      <c r="B8" s="42" t="s">
        <v>527</v>
      </c>
      <c r="C8" s="43" t="s">
        <v>558</v>
      </c>
      <c r="D8" s="44" t="s">
        <v>556</v>
      </c>
      <c r="E8" s="43" t="s">
        <v>559</v>
      </c>
      <c r="F8" s="43" t="s">
        <v>560</v>
      </c>
      <c r="G8" s="45" t="s">
        <v>561</v>
      </c>
    </row>
    <row r="9" spans="2:7" x14ac:dyDescent="0.2">
      <c r="B9" s="35" t="s">
        <v>528</v>
      </c>
      <c r="C9" s="26" t="s">
        <v>529</v>
      </c>
      <c r="D9" s="36" t="s">
        <v>530</v>
      </c>
      <c r="E9" s="27">
        <v>3864</v>
      </c>
      <c r="F9" s="27">
        <v>6900</v>
      </c>
      <c r="G9" s="28">
        <v>9908</v>
      </c>
    </row>
    <row r="10" spans="2:7" x14ac:dyDescent="0.2">
      <c r="B10" s="37" t="s">
        <v>531</v>
      </c>
      <c r="C10" s="31" t="s">
        <v>529</v>
      </c>
      <c r="D10" s="38" t="s">
        <v>532</v>
      </c>
      <c r="E10" s="29">
        <v>1328</v>
      </c>
      <c r="F10" s="29">
        <v>1366</v>
      </c>
      <c r="G10" s="30">
        <v>2693</v>
      </c>
    </row>
    <row r="11" spans="2:7" x14ac:dyDescent="0.2">
      <c r="B11" s="37" t="s">
        <v>533</v>
      </c>
      <c r="C11" s="31" t="s">
        <v>529</v>
      </c>
      <c r="D11" s="38" t="s">
        <v>534</v>
      </c>
      <c r="E11" s="29">
        <v>2646</v>
      </c>
      <c r="F11" s="29">
        <v>4159</v>
      </c>
      <c r="G11" s="30">
        <v>6469</v>
      </c>
    </row>
    <row r="12" spans="2:7" x14ac:dyDescent="0.2">
      <c r="B12" s="37" t="s">
        <v>535</v>
      </c>
      <c r="C12" s="31" t="s">
        <v>529</v>
      </c>
      <c r="D12" s="38" t="s">
        <v>530</v>
      </c>
      <c r="E12" s="31">
        <v>520</v>
      </c>
      <c r="F12" s="31">
        <v>379</v>
      </c>
      <c r="G12" s="32">
        <v>877</v>
      </c>
    </row>
    <row r="13" spans="2:7" x14ac:dyDescent="0.2">
      <c r="B13" s="37" t="s">
        <v>536</v>
      </c>
      <c r="C13" s="31" t="s">
        <v>537</v>
      </c>
      <c r="D13" s="38" t="s">
        <v>536</v>
      </c>
      <c r="E13" s="29">
        <v>5109</v>
      </c>
      <c r="F13" s="29">
        <v>31503</v>
      </c>
      <c r="G13" s="30">
        <v>17584</v>
      </c>
    </row>
    <row r="14" spans="2:7" x14ac:dyDescent="0.2">
      <c r="B14" s="37" t="s">
        <v>538</v>
      </c>
      <c r="C14" s="31" t="s">
        <v>529</v>
      </c>
      <c r="D14" s="38" t="s">
        <v>532</v>
      </c>
      <c r="E14" s="29">
        <v>3721</v>
      </c>
      <c r="F14" s="29">
        <v>4016</v>
      </c>
      <c r="G14" s="30">
        <v>7726</v>
      </c>
    </row>
    <row r="15" spans="2:7" x14ac:dyDescent="0.2">
      <c r="B15" s="37" t="s">
        <v>539</v>
      </c>
      <c r="C15" s="31" t="s">
        <v>529</v>
      </c>
      <c r="D15" s="38" t="s">
        <v>532</v>
      </c>
      <c r="E15" s="31">
        <v>760</v>
      </c>
      <c r="F15" s="31">
        <v>993</v>
      </c>
      <c r="G15" s="30">
        <v>1722</v>
      </c>
    </row>
    <row r="16" spans="2:7" x14ac:dyDescent="0.2">
      <c r="B16" s="37" t="s">
        <v>540</v>
      </c>
      <c r="C16" s="31" t="s">
        <v>537</v>
      </c>
      <c r="D16" s="38" t="s">
        <v>540</v>
      </c>
      <c r="E16" s="29">
        <v>4002</v>
      </c>
      <c r="F16" s="29">
        <v>64048</v>
      </c>
      <c r="G16" s="30">
        <v>15067</v>
      </c>
    </row>
    <row r="17" spans="2:7" x14ac:dyDescent="0.2">
      <c r="B17" s="37" t="s">
        <v>541</v>
      </c>
      <c r="C17" s="31" t="s">
        <v>529</v>
      </c>
      <c r="D17" s="38" t="s">
        <v>542</v>
      </c>
      <c r="E17" s="29">
        <v>1262</v>
      </c>
      <c r="F17" s="29">
        <v>4218</v>
      </c>
      <c r="G17" s="30">
        <v>3885</v>
      </c>
    </row>
    <row r="18" spans="2:7" x14ac:dyDescent="0.2">
      <c r="B18" s="37" t="s">
        <v>543</v>
      </c>
      <c r="C18" s="31" t="s">
        <v>529</v>
      </c>
      <c r="D18" s="38" t="s">
        <v>544</v>
      </c>
      <c r="E18" s="29">
        <v>3517</v>
      </c>
      <c r="F18" s="29">
        <v>9141</v>
      </c>
      <c r="G18" s="30">
        <v>10159</v>
      </c>
    </row>
    <row r="19" spans="2:7" x14ac:dyDescent="0.2">
      <c r="B19" s="37" t="s">
        <v>545</v>
      </c>
      <c r="C19" s="31" t="s">
        <v>529</v>
      </c>
      <c r="D19" s="38" t="s">
        <v>532</v>
      </c>
      <c r="E19" s="31">
        <v>470</v>
      </c>
      <c r="F19" s="31">
        <v>317</v>
      </c>
      <c r="G19" s="32">
        <v>757</v>
      </c>
    </row>
    <row r="20" spans="2:7" x14ac:dyDescent="0.2">
      <c r="B20" s="37" t="s">
        <v>546</v>
      </c>
      <c r="C20" s="31" t="s">
        <v>529</v>
      </c>
      <c r="D20" s="38" t="s">
        <v>532</v>
      </c>
      <c r="E20" s="31">
        <v>335</v>
      </c>
      <c r="F20" s="31">
        <v>205</v>
      </c>
      <c r="G20" s="32">
        <v>509</v>
      </c>
    </row>
    <row r="21" spans="2:7" x14ac:dyDescent="0.2">
      <c r="B21" s="37" t="s">
        <v>547</v>
      </c>
      <c r="C21" s="31" t="s">
        <v>529</v>
      </c>
      <c r="D21" s="38" t="s">
        <v>532</v>
      </c>
      <c r="E21" s="29">
        <v>1427</v>
      </c>
      <c r="F21" s="29">
        <v>1403</v>
      </c>
      <c r="G21" s="30">
        <v>2830</v>
      </c>
    </row>
    <row r="22" spans="2:7" x14ac:dyDescent="0.2">
      <c r="B22" s="37" t="s">
        <v>548</v>
      </c>
      <c r="C22" s="31" t="s">
        <v>529</v>
      </c>
      <c r="D22" s="38" t="s">
        <v>549</v>
      </c>
      <c r="E22" s="31">
        <v>509</v>
      </c>
      <c r="F22" s="31">
        <v>753</v>
      </c>
      <c r="G22" s="30">
        <v>1215</v>
      </c>
    </row>
    <row r="23" spans="2:7" x14ac:dyDescent="0.2">
      <c r="B23" s="37" t="s">
        <v>550</v>
      </c>
      <c r="C23" s="31" t="s">
        <v>529</v>
      </c>
      <c r="D23" s="38" t="s">
        <v>532</v>
      </c>
      <c r="E23" s="31">
        <v>748</v>
      </c>
      <c r="F23" s="31">
        <v>163</v>
      </c>
      <c r="G23" s="32">
        <v>535</v>
      </c>
    </row>
    <row r="24" spans="2:7" x14ac:dyDescent="0.2">
      <c r="B24" s="37" t="s">
        <v>549</v>
      </c>
      <c r="C24" s="31" t="s">
        <v>529</v>
      </c>
      <c r="D24" s="38" t="s">
        <v>549</v>
      </c>
      <c r="E24" s="31">
        <v>421</v>
      </c>
      <c r="F24" s="31">
        <v>827</v>
      </c>
      <c r="G24" s="30">
        <v>1116</v>
      </c>
    </row>
    <row r="25" spans="2:7" x14ac:dyDescent="0.2">
      <c r="B25" s="37" t="s">
        <v>551</v>
      </c>
      <c r="C25" s="31" t="s">
        <v>537</v>
      </c>
      <c r="D25" s="38" t="s">
        <v>530</v>
      </c>
      <c r="E25" s="29">
        <v>3649</v>
      </c>
      <c r="F25" s="29">
        <v>322519</v>
      </c>
      <c r="G25" s="30">
        <v>14433</v>
      </c>
    </row>
    <row r="26" spans="2:7" x14ac:dyDescent="0.2">
      <c r="B26" s="39" t="s">
        <v>552</v>
      </c>
      <c r="C26" s="40" t="s">
        <v>529</v>
      </c>
      <c r="D26" s="41" t="s">
        <v>532</v>
      </c>
      <c r="E26" s="33">
        <v>2178</v>
      </c>
      <c r="F26" s="33">
        <v>5168</v>
      </c>
      <c r="G26" s="34">
        <v>6129</v>
      </c>
    </row>
    <row r="27" spans="2:7" x14ac:dyDescent="0.2">
      <c r="B27" s="39" t="s">
        <v>553</v>
      </c>
      <c r="C27" s="41"/>
      <c r="D27" s="41"/>
      <c r="E27" s="33">
        <v>36466</v>
      </c>
      <c r="F27" s="33">
        <v>458078</v>
      </c>
      <c r="G27" s="34">
        <v>103614</v>
      </c>
    </row>
    <row r="29" spans="2:7" x14ac:dyDescent="0.2">
      <c r="F29" s="15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A43C5-461F-B64F-BD3E-88EA12BDD89A}">
  <dimension ref="B2:T19"/>
  <sheetViews>
    <sheetView zoomScaleNormal="100" workbookViewId="0">
      <pane xSplit="2" ySplit="4" topLeftCell="C5" activePane="bottomRight" state="frozen"/>
      <selection pane="topRight" activeCell="B1" sqref="B1"/>
      <selection pane="bottomLeft" activeCell="A2" sqref="A2"/>
      <selection pane="bottomRight"/>
    </sheetView>
  </sheetViews>
  <sheetFormatPr baseColWidth="10" defaultRowHeight="16" x14ac:dyDescent="0.2"/>
  <cols>
    <col min="1" max="1" width="4" style="506" customWidth="1"/>
    <col min="2" max="2" width="30.5" style="506" customWidth="1"/>
    <col min="3" max="9" width="57" style="506" customWidth="1"/>
    <col min="10" max="10" width="61.6640625" style="506" customWidth="1"/>
    <col min="11" max="20" width="57" style="506" customWidth="1"/>
    <col min="21" max="16384" width="10.83203125" style="506"/>
  </cols>
  <sheetData>
    <row r="2" spans="2:20" x14ac:dyDescent="0.2">
      <c r="B2" s="516" t="s">
        <v>2881</v>
      </c>
      <c r="C2" s="38"/>
    </row>
    <row r="4" spans="2:20" ht="17" x14ac:dyDescent="0.2">
      <c r="B4" s="511" t="s">
        <v>527</v>
      </c>
      <c r="C4" s="511" t="s">
        <v>528</v>
      </c>
      <c r="D4" s="511" t="s">
        <v>531</v>
      </c>
      <c r="E4" s="511" t="s">
        <v>533</v>
      </c>
      <c r="F4" s="511" t="s">
        <v>535</v>
      </c>
      <c r="G4" s="511" t="s">
        <v>536</v>
      </c>
      <c r="H4" s="511" t="s">
        <v>539</v>
      </c>
      <c r="I4" s="511" t="s">
        <v>540</v>
      </c>
      <c r="J4" s="511" t="s">
        <v>2539</v>
      </c>
      <c r="K4" s="511" t="s">
        <v>543</v>
      </c>
      <c r="L4" s="511" t="s">
        <v>2540</v>
      </c>
      <c r="M4" s="511" t="s">
        <v>2541</v>
      </c>
      <c r="N4" s="511" t="s">
        <v>546</v>
      </c>
      <c r="O4" s="511" t="s">
        <v>2542</v>
      </c>
      <c r="P4" s="511" t="s">
        <v>548</v>
      </c>
      <c r="Q4" s="511" t="s">
        <v>2543</v>
      </c>
      <c r="R4" s="511" t="s">
        <v>549</v>
      </c>
      <c r="S4" s="511" t="s">
        <v>551</v>
      </c>
      <c r="T4" s="511" t="s">
        <v>552</v>
      </c>
    </row>
    <row r="5" spans="2:20" ht="170" x14ac:dyDescent="0.2">
      <c r="B5" s="512" t="s">
        <v>2544</v>
      </c>
      <c r="C5" s="537" t="s">
        <v>2545</v>
      </c>
      <c r="D5" s="537" t="s">
        <v>2546</v>
      </c>
      <c r="E5" s="537" t="s">
        <v>2547</v>
      </c>
      <c r="F5" s="537" t="s">
        <v>2548</v>
      </c>
      <c r="G5" s="537" t="s">
        <v>2549</v>
      </c>
      <c r="H5" s="537" t="s">
        <v>2546</v>
      </c>
      <c r="I5" s="538" t="s">
        <v>2550</v>
      </c>
      <c r="J5" s="539" t="s">
        <v>2551</v>
      </c>
      <c r="K5" s="537" t="s">
        <v>2552</v>
      </c>
      <c r="L5" s="537" t="s">
        <v>2546</v>
      </c>
      <c r="M5" s="537" t="s">
        <v>2546</v>
      </c>
      <c r="N5" s="513" t="s">
        <v>2553</v>
      </c>
      <c r="O5" s="537" t="s">
        <v>2546</v>
      </c>
      <c r="P5" s="537" t="s">
        <v>2554</v>
      </c>
      <c r="Q5" s="537" t="s">
        <v>2546</v>
      </c>
      <c r="R5" s="537" t="s">
        <v>2555</v>
      </c>
      <c r="S5" s="537" t="s">
        <v>2556</v>
      </c>
      <c r="T5" s="537" t="s">
        <v>2546</v>
      </c>
    </row>
    <row r="6" spans="2:20" ht="255" x14ac:dyDescent="0.2">
      <c r="B6" s="512" t="s">
        <v>2557</v>
      </c>
      <c r="C6" s="537" t="s">
        <v>2830</v>
      </c>
      <c r="D6" s="537" t="s">
        <v>2831</v>
      </c>
      <c r="E6" s="537" t="s">
        <v>2832</v>
      </c>
      <c r="F6" s="537" t="s">
        <v>2833</v>
      </c>
      <c r="G6" s="537" t="s">
        <v>2834</v>
      </c>
      <c r="H6" s="537" t="s">
        <v>2831</v>
      </c>
      <c r="I6" s="539" t="s">
        <v>2835</v>
      </c>
      <c r="J6" s="539" t="s">
        <v>2836</v>
      </c>
      <c r="K6" s="537" t="s">
        <v>2837</v>
      </c>
      <c r="L6" s="537" t="s">
        <v>2831</v>
      </c>
      <c r="M6" s="537" t="s">
        <v>2831</v>
      </c>
      <c r="N6" s="539" t="s">
        <v>2838</v>
      </c>
      <c r="O6" s="537" t="s">
        <v>2839</v>
      </c>
      <c r="P6" s="537" t="s">
        <v>2840</v>
      </c>
      <c r="Q6" s="537" t="s">
        <v>2831</v>
      </c>
      <c r="R6" s="537" t="s">
        <v>2841</v>
      </c>
      <c r="S6" s="537" t="s">
        <v>2842</v>
      </c>
      <c r="T6" s="537" t="s">
        <v>2831</v>
      </c>
    </row>
    <row r="7" spans="2:20" ht="34" x14ac:dyDescent="0.2">
      <c r="B7" s="512" t="s">
        <v>2558</v>
      </c>
      <c r="C7" s="537" t="s">
        <v>2843</v>
      </c>
      <c r="D7" s="537" t="s">
        <v>2844</v>
      </c>
      <c r="E7" s="537" t="s">
        <v>2845</v>
      </c>
      <c r="F7" s="537" t="s">
        <v>2846</v>
      </c>
      <c r="G7" s="537" t="s">
        <v>2847</v>
      </c>
      <c r="H7" s="537" t="s">
        <v>2848</v>
      </c>
      <c r="I7" s="539" t="s">
        <v>2849</v>
      </c>
      <c r="J7" s="539" t="s">
        <v>2850</v>
      </c>
      <c r="K7" s="537" t="s">
        <v>2851</v>
      </c>
      <c r="L7" s="537" t="s">
        <v>2852</v>
      </c>
      <c r="M7" s="537" t="s">
        <v>2853</v>
      </c>
      <c r="N7" s="537" t="s">
        <v>2854</v>
      </c>
      <c r="O7" s="537" t="s">
        <v>2855</v>
      </c>
      <c r="P7" s="537" t="s">
        <v>2856</v>
      </c>
      <c r="Q7" s="537" t="s">
        <v>2857</v>
      </c>
      <c r="R7" s="537" t="s">
        <v>2858</v>
      </c>
      <c r="S7" s="537" t="s">
        <v>2559</v>
      </c>
      <c r="T7" s="537" t="s">
        <v>2859</v>
      </c>
    </row>
    <row r="8" spans="2:20" ht="68" x14ac:dyDescent="0.2">
      <c r="B8" s="512" t="s">
        <v>2560</v>
      </c>
      <c r="C8" s="537" t="s">
        <v>2860</v>
      </c>
      <c r="D8" s="537" t="s">
        <v>2561</v>
      </c>
      <c r="E8" s="537" t="s">
        <v>2562</v>
      </c>
      <c r="F8" s="537" t="s">
        <v>2563</v>
      </c>
      <c r="G8" s="537" t="s">
        <v>2564</v>
      </c>
      <c r="H8" s="537" t="s">
        <v>2565</v>
      </c>
      <c r="I8" s="539" t="s">
        <v>2566</v>
      </c>
      <c r="J8" s="539" t="s">
        <v>2567</v>
      </c>
      <c r="K8" s="537" t="s">
        <v>2861</v>
      </c>
      <c r="L8" s="537" t="s">
        <v>2568</v>
      </c>
      <c r="M8" s="537" t="s">
        <v>2564</v>
      </c>
      <c r="N8" s="537" t="s">
        <v>2569</v>
      </c>
      <c r="O8" s="537" t="s">
        <v>2570</v>
      </c>
      <c r="P8" s="537" t="s">
        <v>2571</v>
      </c>
      <c r="Q8" s="537" t="s">
        <v>2564</v>
      </c>
      <c r="R8" s="537" t="s">
        <v>2569</v>
      </c>
      <c r="S8" s="537" t="s">
        <v>2572</v>
      </c>
      <c r="T8" s="537" t="s">
        <v>2573</v>
      </c>
    </row>
    <row r="9" spans="2:20" ht="409" customHeight="1" x14ac:dyDescent="0.2">
      <c r="B9" s="512" t="s">
        <v>2574</v>
      </c>
      <c r="C9" s="537" t="s">
        <v>2575</v>
      </c>
      <c r="D9" s="537" t="s">
        <v>2576</v>
      </c>
      <c r="E9" s="537" t="s">
        <v>2577</v>
      </c>
      <c r="F9" s="537" t="s">
        <v>2578</v>
      </c>
      <c r="G9" s="537" t="s">
        <v>2579</v>
      </c>
      <c r="H9" s="537" t="s">
        <v>2576</v>
      </c>
      <c r="I9" s="540" t="s">
        <v>2580</v>
      </c>
      <c r="J9" s="539" t="s">
        <v>2581</v>
      </c>
      <c r="K9" s="537" t="s">
        <v>2582</v>
      </c>
      <c r="L9" s="537" t="s">
        <v>2576</v>
      </c>
      <c r="M9" s="537" t="s">
        <v>2576</v>
      </c>
      <c r="N9" s="537" t="s">
        <v>2583</v>
      </c>
      <c r="O9" s="537" t="s">
        <v>2576</v>
      </c>
      <c r="P9" s="537" t="s">
        <v>2879</v>
      </c>
      <c r="Q9" s="537" t="s">
        <v>2576</v>
      </c>
      <c r="R9" s="537" t="s">
        <v>2584</v>
      </c>
      <c r="S9" s="537" t="s">
        <v>2585</v>
      </c>
      <c r="T9" s="537" t="s">
        <v>2576</v>
      </c>
    </row>
    <row r="10" spans="2:20" ht="187" x14ac:dyDescent="0.2">
      <c r="B10" s="512" t="s">
        <v>2586</v>
      </c>
      <c r="C10" s="537" t="s">
        <v>2587</v>
      </c>
      <c r="D10" s="537" t="s">
        <v>2587</v>
      </c>
      <c r="E10" s="537" t="s">
        <v>2587</v>
      </c>
      <c r="F10" s="537" t="s">
        <v>2587</v>
      </c>
      <c r="G10" s="537" t="s">
        <v>2588</v>
      </c>
      <c r="H10" s="537" t="s">
        <v>2587</v>
      </c>
      <c r="I10" s="210" t="s">
        <v>2589</v>
      </c>
      <c r="J10" s="539" t="s">
        <v>2590</v>
      </c>
      <c r="K10" s="537" t="s">
        <v>2587</v>
      </c>
      <c r="L10" s="537" t="s">
        <v>2587</v>
      </c>
      <c r="M10" s="537" t="s">
        <v>2587</v>
      </c>
      <c r="N10" s="537" t="s">
        <v>2587</v>
      </c>
      <c r="O10" s="537" t="s">
        <v>2587</v>
      </c>
      <c r="P10" s="537" t="s">
        <v>2880</v>
      </c>
      <c r="Q10" s="537" t="s">
        <v>2587</v>
      </c>
      <c r="R10" s="537" t="s">
        <v>2591</v>
      </c>
      <c r="S10" s="537" t="s">
        <v>2592</v>
      </c>
      <c r="T10" s="537" t="s">
        <v>2587</v>
      </c>
    </row>
    <row r="11" spans="2:20" ht="51" x14ac:dyDescent="0.2">
      <c r="B11" s="512" t="s">
        <v>2593</v>
      </c>
      <c r="C11" s="537" t="s">
        <v>2594</v>
      </c>
      <c r="D11" s="537" t="s">
        <v>2594</v>
      </c>
      <c r="E11" s="537" t="s">
        <v>2595</v>
      </c>
      <c r="F11" s="537" t="s">
        <v>2596</v>
      </c>
      <c r="G11" s="537" t="s">
        <v>2597</v>
      </c>
      <c r="H11" s="537" t="s">
        <v>2594</v>
      </c>
      <c r="I11" s="538" t="s">
        <v>2598</v>
      </c>
      <c r="J11" s="539" t="s">
        <v>2599</v>
      </c>
      <c r="K11" s="537" t="s">
        <v>2600</v>
      </c>
      <c r="L11" s="537" t="s">
        <v>2594</v>
      </c>
      <c r="M11" s="537" t="s">
        <v>2594</v>
      </c>
      <c r="N11" s="537" t="s">
        <v>2594</v>
      </c>
      <c r="O11" s="537" t="s">
        <v>2594</v>
      </c>
      <c r="P11" s="514" t="s">
        <v>2601</v>
      </c>
      <c r="Q11" s="537" t="s">
        <v>2594</v>
      </c>
      <c r="R11" s="514" t="s">
        <v>2601</v>
      </c>
      <c r="S11" s="537" t="s">
        <v>2602</v>
      </c>
      <c r="T11" s="537" t="s">
        <v>2594</v>
      </c>
    </row>
    <row r="12" spans="2:20" ht="34" x14ac:dyDescent="0.2">
      <c r="B12" s="512" t="s">
        <v>2603</v>
      </c>
      <c r="C12" s="537" t="s">
        <v>2862</v>
      </c>
      <c r="D12" s="537" t="s">
        <v>2863</v>
      </c>
      <c r="E12" s="537" t="s">
        <v>2864</v>
      </c>
      <c r="F12" s="537" t="s">
        <v>2865</v>
      </c>
      <c r="G12" s="537" t="s">
        <v>2866</v>
      </c>
      <c r="H12" s="537" t="s">
        <v>2867</v>
      </c>
      <c r="I12" s="539" t="s">
        <v>2868</v>
      </c>
      <c r="J12" s="539" t="s">
        <v>2869</v>
      </c>
      <c r="K12" s="537" t="s">
        <v>2870</v>
      </c>
      <c r="L12" s="537" t="s">
        <v>2871</v>
      </c>
      <c r="M12" s="537" t="s">
        <v>2872</v>
      </c>
      <c r="N12" s="537" t="s">
        <v>2873</v>
      </c>
      <c r="O12" s="537" t="s">
        <v>2874</v>
      </c>
      <c r="P12" s="537" t="s">
        <v>2875</v>
      </c>
      <c r="Q12" s="537" t="s">
        <v>2857</v>
      </c>
      <c r="R12" s="537" t="s">
        <v>2876</v>
      </c>
      <c r="S12" s="537" t="s">
        <v>2877</v>
      </c>
      <c r="T12" s="537" t="s">
        <v>2878</v>
      </c>
    </row>
    <row r="13" spans="2:20" ht="34" x14ac:dyDescent="0.2">
      <c r="B13" s="512" t="s">
        <v>2604</v>
      </c>
      <c r="C13" s="537" t="s">
        <v>2605</v>
      </c>
      <c r="D13" s="537" t="s">
        <v>2606</v>
      </c>
      <c r="E13" s="537" t="s">
        <v>2607</v>
      </c>
      <c r="F13" s="537" t="s">
        <v>2605</v>
      </c>
      <c r="G13" s="537" t="s">
        <v>2608</v>
      </c>
      <c r="H13" s="537" t="s">
        <v>2609</v>
      </c>
      <c r="I13" s="515" t="s">
        <v>2610</v>
      </c>
      <c r="J13" s="539" t="s">
        <v>2611</v>
      </c>
      <c r="K13" s="537" t="s">
        <v>2612</v>
      </c>
      <c r="L13" s="537" t="s">
        <v>2613</v>
      </c>
      <c r="M13" s="537" t="s">
        <v>2614</v>
      </c>
      <c r="N13" s="537" t="s">
        <v>2614</v>
      </c>
      <c r="O13" s="537" t="s">
        <v>2615</v>
      </c>
      <c r="P13" s="537" t="s">
        <v>2616</v>
      </c>
      <c r="Q13" s="537" t="s">
        <v>2617</v>
      </c>
      <c r="R13" s="537" t="s">
        <v>2616</v>
      </c>
      <c r="S13" s="537" t="s">
        <v>2618</v>
      </c>
      <c r="T13" s="537" t="s">
        <v>2619</v>
      </c>
    </row>
    <row r="16" spans="2:20" ht="34" x14ac:dyDescent="0.2">
      <c r="B16" s="517" t="s">
        <v>2620</v>
      </c>
      <c r="C16" s="591" t="s">
        <v>2621</v>
      </c>
      <c r="D16" s="592"/>
      <c r="E16" s="592"/>
    </row>
    <row r="17" spans="3:5" ht="207" customHeight="1" x14ac:dyDescent="0.2">
      <c r="C17" s="591" t="s">
        <v>2624</v>
      </c>
      <c r="D17" s="592"/>
      <c r="E17" s="592"/>
    </row>
    <row r="18" spans="3:5" ht="34" customHeight="1" x14ac:dyDescent="0.2">
      <c r="C18" s="591" t="s">
        <v>2622</v>
      </c>
      <c r="D18" s="592"/>
      <c r="E18" s="592"/>
    </row>
    <row r="19" spans="3:5" ht="95" customHeight="1" x14ac:dyDescent="0.2">
      <c r="C19" s="591" t="s">
        <v>2623</v>
      </c>
      <c r="D19" s="592"/>
      <c r="E19" s="592"/>
    </row>
  </sheetData>
  <mergeCells count="4">
    <mergeCell ref="C16:E16"/>
    <mergeCell ref="C17:E17"/>
    <mergeCell ref="C18:E18"/>
    <mergeCell ref="C19:E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Contents</vt:lpstr>
      <vt:lpstr>Supplementary Data 1</vt:lpstr>
      <vt:lpstr>Supplementary Data 2</vt:lpstr>
      <vt:lpstr>Supplementary Data 3</vt:lpstr>
      <vt:lpstr>Supplementary Data 4</vt:lpstr>
      <vt:lpstr>Supplementary Data 5</vt:lpstr>
      <vt:lpstr>Supplementary Data 6</vt:lpstr>
      <vt:lpstr>Supplementary Data 7</vt:lpstr>
      <vt:lpstr>Supplementary Data 8</vt:lpstr>
      <vt:lpstr>Supplementary Data 9</vt:lpstr>
      <vt:lpstr>Supplementary Data 10</vt:lpstr>
      <vt:lpstr>Supplementary Data 11</vt:lpstr>
      <vt:lpstr>Supplementary Data 12</vt:lpstr>
      <vt:lpstr>Supplementary Data 13</vt:lpstr>
      <vt:lpstr>Supplementary Data 14</vt:lpstr>
      <vt:lpstr>Supplementary Data 15</vt:lpstr>
      <vt:lpstr>Supplementary Data 16</vt:lpstr>
      <vt:lpstr>Supplementary Data 17</vt:lpstr>
      <vt:lpstr>Supplementary Data 18</vt:lpstr>
      <vt:lpstr>Supplementary Data 19</vt:lpstr>
      <vt:lpstr>Supplementary Data 20</vt:lpstr>
      <vt:lpstr>Supplementary Data 21</vt:lpstr>
      <vt:lpstr>Supplementary Data 22</vt:lpstr>
      <vt:lpstr>Supplementary Data 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Dand</dc:creator>
  <cp:lastModifiedBy>Nick Dand</cp:lastModifiedBy>
  <dcterms:created xsi:type="dcterms:W3CDTF">2022-08-31T11:14:37Z</dcterms:created>
  <dcterms:modified xsi:type="dcterms:W3CDTF">2024-12-06T09:55:30Z</dcterms:modified>
</cp:coreProperties>
</file>